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1\Aula-3\"/>
    </mc:Choice>
  </mc:AlternateContent>
  <xr:revisionPtr revIDLastSave="0" documentId="13_ncr:1_{1EC76875-1CE5-4296-9332-3FD94BAAB575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📋 INSTRUÇÕES" sheetId="1" r:id="rId1"/>
    <sheet name="🎯 REGISTO DE RISCOS" sheetId="2" r:id="rId2"/>
    <sheet name="🗺️ MATRIZ DE RISCO" sheetId="3" r:id="rId3"/>
    <sheet name="📈 PAINEL DE CONTROL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2" l="1"/>
  <c r="C6" i="4" s="1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C5" i="4"/>
  <c r="I8" i="2"/>
  <c r="C14" i="4"/>
  <c r="C13" i="4"/>
  <c r="C12" i="4"/>
  <c r="C9" i="4"/>
  <c r="C8" i="4"/>
  <c r="C7" i="4"/>
  <c r="H27" i="2"/>
  <c r="I27" i="2" s="1"/>
  <c r="H26" i="2"/>
  <c r="I26" i="2" s="1"/>
  <c r="H25" i="2"/>
  <c r="I25" i="2" s="1"/>
  <c r="H24" i="2"/>
  <c r="I24" i="2" s="1"/>
  <c r="I23" i="2"/>
  <c r="H23" i="2"/>
  <c r="H22" i="2"/>
  <c r="I22" i="2" s="1"/>
  <c r="H21" i="2"/>
  <c r="I21" i="2" s="1"/>
  <c r="H20" i="2"/>
  <c r="I20" i="2" s="1"/>
  <c r="I19" i="2"/>
  <c r="H19" i="2"/>
  <c r="H18" i="2"/>
  <c r="I18" i="2" s="1"/>
  <c r="H17" i="2"/>
  <c r="I17" i="2" s="1"/>
  <c r="H16" i="2"/>
  <c r="I16" i="2" s="1"/>
  <c r="I15" i="2"/>
  <c r="H15" i="2"/>
  <c r="H14" i="2"/>
  <c r="I14" i="2" s="1"/>
  <c r="H13" i="2"/>
  <c r="I13" i="2" s="1"/>
  <c r="H12" i="2"/>
  <c r="I12" i="2" s="1"/>
  <c r="I11" i="2"/>
  <c r="H11" i="2"/>
  <c r="H10" i="2"/>
  <c r="I10" i="2" s="1"/>
  <c r="H9" i="2"/>
  <c r="I9" i="2" s="1"/>
  <c r="H8" i="2"/>
</calcChain>
</file>

<file path=xl/sharedStrings.xml><?xml version="1.0" encoding="utf-8"?>
<sst xmlns="http://schemas.openxmlformats.org/spreadsheetml/2006/main" count="183" uniqueCount="163">
  <si>
    <t>REGISTO DE RISCOS DE CIBERSEGURANÇA NIS2</t>
  </si>
  <si>
    <t>Art. 21.º Diretiva NIS2  ·  DL 125/2025  ·  ISO/IEC 27005:2022  ·  Revisão Anual Obrigatória</t>
  </si>
  <si>
    <t>📌  PARA QUE SERVE ESTE REGISTO?</t>
  </si>
  <si>
    <t>O Registo de Riscos é o documento central de gestão de cibersegurança da PME. O Art. 21.º NIS2 obriga as entidades a 'tomar medidas adequadas e proporcionadas para gerir os riscos'. Sem um registo formal, não é possível demonstrar ao CNCS que a empresa gere os seus riscos de forma estruturada.</t>
  </si>
  <si>
    <t>📊  SEPARADORES DISPONÍVEIS</t>
  </si>
  <si>
    <t>🎯  REGISTO DE RISCOS — Lista completa de riscos identificados com avaliação de probabilidade × impacto e plano de tratamento</t>
  </si>
  <si>
    <t>🗺️  MATRIZ DE RISCO — Mapa visual 5×5 de calor (heatmap) para priorização dos riscos</t>
  </si>
  <si>
    <t>📈  PAINEL DE CONTROLO — Dashboard de resumo para apresentação à gestão de topo</t>
  </si>
  <si>
    <t>⚠️  COMO USAR</t>
  </si>
  <si>
    <t>1. Preencha as células AMARELAS no Registo de Riscos com os dados da sua empresa</t>
  </si>
  <si>
    <t>2. Use os menus dropdown para Probabilidade, Impacto, Estado e Responsável</t>
  </si>
  <si>
    <t>3. O Nível de Risco é calculado automaticamente (Probabilidade × Impacto)</t>
  </si>
  <si>
    <t>4. Reveja e atualize pelo menos 1×/ano ou após incidente significativo (obrigação NIS2)</t>
  </si>
  <si>
    <t>5. Apresente o resumo do Painel de Controlo na reunião anual de cibersegurança com a gestão</t>
  </si>
  <si>
    <t>📏  ESCALA DE AVALIAÇÃO</t>
  </si>
  <si>
    <t>Probabilidade:  1=Muito Improvável  ·  2=Improvável  ·  3=Possível  ·  4=Provável  ·  5=Muito Provável</t>
  </si>
  <si>
    <t>Impacto:  1=Mínimo  ·  2=Baixo  ·  3=Moderado  ·  4=Alto  ·  5=Crítico</t>
  </si>
  <si>
    <t>Nível de Risco:  1-4=BAIXO (verde)  ·  5-9=MÉDIO (amarelo)  ·  10-16=ALTO (laranja)  ·  17-25=CRÍTICO (vermelho)</t>
  </si>
  <si>
    <t>REGISTO DE RISCOS DE CIBERSEGURANÇA</t>
  </si>
  <si>
    <t>Empresa: [Nome da Empresa]</t>
  </si>
  <si>
    <t>Última Revisão: ___/___/______   Próxima Revisão: ___/___/______   Aprovado por: _______________</t>
  </si>
  <si>
    <t>⚠️  Preencha as células AMARELAS. O Nível de Risco é calculado automaticamente. Reveja pelo menos 1×/ano. Registo exigido pelo Art. 21.º NIS2 e apresentado ao CNCS em auditoria.</t>
  </si>
  <si>
    <t>ID</t>
  </si>
  <si>
    <t>Ameaça / Risco</t>
  </si>
  <si>
    <t>Ativo(s) Afetado(s)</t>
  </si>
  <si>
    <t>Categoria</t>
  </si>
  <si>
    <t>Prob.
(1-5)</t>
  </si>
  <si>
    <t>Impacto
(1-5)</t>
  </si>
  <si>
    <t>Nível
de Risco</t>
  </si>
  <si>
    <t>Classificação</t>
  </si>
  <si>
    <t>Medida de Tratamento</t>
  </si>
  <si>
    <t>Responsável</t>
  </si>
  <si>
    <t>Estado</t>
  </si>
  <si>
    <t>R01</t>
  </si>
  <si>
    <t>Ataque de Ransomware</t>
  </si>
  <si>
    <t>Servidores de ficheiros, ERP, NAS de backup</t>
  </si>
  <si>
    <t>Ransomware</t>
  </si>
  <si>
    <t>Backup 3-2-1 imutável; MFA em todos os acessos; EDR em todos os endpoints; IRP testado semestralmente</t>
  </si>
  <si>
    <t>CISO + TI</t>
  </si>
  <si>
    <t>Mitigar</t>
  </si>
  <si>
    <t>R02</t>
  </si>
  <si>
    <t>Phishing com comprometimento de credenciais (BEC)</t>
  </si>
  <si>
    <t>Contas de e-mail; acesso ao ERP; conta bancária</t>
  </si>
  <si>
    <t>Phishing/BEC</t>
  </si>
  <si>
    <t>MFA obrigatório (Authenticator); formação trimestral; simulações phishing; filtro anti-spam avançado</t>
  </si>
  <si>
    <t>CISO</t>
  </si>
  <si>
    <t>R03</t>
  </si>
  <si>
    <t>Acesso indevido por ex-colaborador</t>
  </si>
  <si>
    <t>Sistemas internos; dados de clientes; ERP</t>
  </si>
  <si>
    <t>Acesso não autorizado</t>
  </si>
  <si>
    <t>Processo de offboarding com revogação de acessos em &lt;2h; revisão trimestral de acessos ativos</t>
  </si>
  <si>
    <t>RH + TI</t>
  </si>
  <si>
    <t>R04</t>
  </si>
  <si>
    <t>Comprometimento do MSP/fornecedor TI</t>
  </si>
  <si>
    <t>Toda a infraestrutura gerida pelo MSP</t>
  </si>
  <si>
    <t>Fornecedor comprometido</t>
  </si>
  <si>
    <t>Cláusulas NIS2 no contrato; MFA no acesso remoto do MSP; auditoria anual do MSP; plano de saída</t>
  </si>
  <si>
    <t>CISO + Gestão</t>
  </si>
  <si>
    <t>R05</t>
  </si>
  <si>
    <t>Fuga de dados de clientes (RGPD)</t>
  </si>
  <si>
    <t>Base de dados CRM; ficheiros com dados pessoais</t>
  </si>
  <si>
    <t>Fuga de dados</t>
  </si>
  <si>
    <t>Encriptação de BD; controlo de acesso baseado em função; auditoria de acessos; processo RGPD</t>
  </si>
  <si>
    <t>CISO + DPO</t>
  </si>
  <si>
    <t>R06</t>
  </si>
  <si>
    <t>DDoS ao website/portal de cliente</t>
  </si>
  <si>
    <t>Servidor web; DNS; ligação internet</t>
  </si>
  <si>
    <t>DDoS</t>
  </si>
  <si>
    <t>CDN com proteção DDoS (ex: Cloudflare); anular IP directo; SLA com ISP para mitigação</t>
  </si>
  <si>
    <t>TI</t>
  </si>
  <si>
    <t>R07</t>
  </si>
  <si>
    <t>Falha crítica de hardware (servidor principal)</t>
  </si>
  <si>
    <t>Servidor de ficheiros; servidor ERP</t>
  </si>
  <si>
    <t>Falha de sistema</t>
  </si>
  <si>
    <t>Hardware redundante (RAID); UPS com autonomia 45min; BCP com RTO &lt;4h; backup diário testado</t>
  </si>
  <si>
    <t>R08</t>
  </si>
  <si>
    <t>Erro humano — eliminação acidental de dados</t>
  </si>
  <si>
    <t>Ficheiros partilhados; base de dados</t>
  </si>
  <si>
    <t>Erro humano</t>
  </si>
  <si>
    <t>Backups com retenção 30 dias; permissões mínimas (princípio do menor privilégio); lixo reciclável 30 dias</t>
  </si>
  <si>
    <t>R09</t>
  </si>
  <si>
    <t>Vulnerabilidade crítica não corrigida (patch)</t>
  </si>
  <si>
    <t>Todos os sistemas com acesso internet</t>
  </si>
  <si>
    <t>Patch Tuesday mensal; scan de vulnerabilidades trimestral; patches CVSS≥9 em 48h</t>
  </si>
  <si>
    <t>R10</t>
  </si>
  <si>
    <t>Utilização de serviços cloud não aprovados (Shadow IT)</t>
  </si>
  <si>
    <t>Dados empresariais em cloud pessoal</t>
  </si>
  <si>
    <t>Política de uso aceitável; formação; monitorização DNS; Microsoft Defender for Cloud Apps</t>
  </si>
  <si>
    <t>Aceitar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</si>
  <si>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</si>
  <si>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</si>
  <si>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</si>
  <si>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</si>
  <si>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</si>
  <si>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</si>
  <si>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</si>
  <si>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</si>
  <si>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</si>
  <si>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</si>
  <si>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MATRIZ DE RISCO — MAPA DE CALOR (HEATMAP)</t>
  </si>
  <si>
    <t>Probabilidade × Impacto  ·  Cada célula mostra os riscos identificados nesse quadrante</t>
  </si>
  <si>
    <t>IMPACTO  →</t>
  </si>
  <si>
    <t>PROB.
↓</t>
  </si>
  <si>
    <t>1 - Mínimo</t>
  </si>
  <si>
    <t>2 - Baixo</t>
  </si>
  <si>
    <t>3 - Moderado</t>
  </si>
  <si>
    <t>4 - Alto</t>
  </si>
  <si>
    <t>5 - Crítico</t>
  </si>
  <si>
    <t>5 - Muito Provável</t>
  </si>
  <si>
    <t>Risco: 5</t>
  </si>
  <si>
    <t>Risco: 10</t>
  </si>
  <si>
    <t>Risco: 15</t>
  </si>
  <si>
    <t>Risco: 20
R02</t>
  </si>
  <si>
    <t>Risco: 25
R01</t>
  </si>
  <si>
    <t>4 - Provável</t>
  </si>
  <si>
    <t>Risco: 4</t>
  </si>
  <si>
    <t>Risco: 8
R08,R10</t>
  </si>
  <si>
    <t>Risco: 12</t>
  </si>
  <si>
    <t>Risco: 16
R05</t>
  </si>
  <si>
    <t>Risco: 20
R04,R09</t>
  </si>
  <si>
    <t>3 - Possível</t>
  </si>
  <si>
    <t>Risco: 3</t>
  </si>
  <si>
    <t>Risco: 6</t>
  </si>
  <si>
    <t>Risco: 9
R06</t>
  </si>
  <si>
    <t>Risco: 12
R03,R07</t>
  </si>
  <si>
    <t>2 - Improvável</t>
  </si>
  <si>
    <t>Risco: 2</t>
  </si>
  <si>
    <t>Risco: 8</t>
  </si>
  <si>
    <t>1 - Muito Improvável</t>
  </si>
  <si>
    <t>Risco: 1</t>
  </si>
  <si>
    <t>LEGENDA</t>
  </si>
  <si>
    <t>🟢 BAIXO (1-4)</t>
  </si>
  <si>
    <t>Monitorizar. Sem ação urgente necessária.</t>
  </si>
  <si>
    <t>🟡 MÉDIO (5-9)</t>
  </si>
  <si>
    <t>Planear medidas de mitigação no próximo ciclo.</t>
  </si>
  <si>
    <t>🟠 ALTO (10-16)</t>
  </si>
  <si>
    <t>Ação prioritária. Tratar no prazo de 90 dias.</t>
  </si>
  <si>
    <t>🔴 CRÍTICO (17-25)</t>
  </si>
  <si>
    <t>Ação imediata. Escalar para gestão de topo.</t>
  </si>
  <si>
    <t>PAINEL DE CONTROLO — RESUMO DE RISCOS PARA GESTÃO DE TOPO</t>
  </si>
  <si>
    <t>📊 RESUMO GERAL</t>
  </si>
  <si>
    <t>Total de Riscos Identificados</t>
  </si>
  <si>
    <t>Riscos CRÍTICOS (17-25)</t>
  </si>
  <si>
    <t>Riscos ALTOS (10-16)</t>
  </si>
  <si>
    <t>Riscos MÉDIOS (5-9)</t>
  </si>
  <si>
    <t>Riscos BAIXOS (1-4)</t>
  </si>
  <si>
    <t>📋 ESTADO DO TRATAMENTO</t>
  </si>
  <si>
    <t>Riscos Em Curso de Mitigação</t>
  </si>
  <si>
    <t>Riscos Concluídos / Encerrados</t>
  </si>
  <si>
    <t>Riscos Transferidos (Seguro)</t>
  </si>
  <si>
    <t xml:space="preserve">Última atualização do registo: [Data]          |   Aprovado por: [Nome do CEO/Gestor]          |   Próxima revisão: [Data]     </t>
  </si>
  <si>
    <t>Em curso</t>
  </si>
  <si>
    <t>Concluído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</si>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</sst>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1F3864"/>
      <name val="Arial"/>
      <family val="2"/>
    </font>
    <font>
      <sz val="10"/>
      <color rgb="FF3D3D3D"/>
      <name val="Arial"/>
      <family val="2"/>
    </font>
    <font>
      <b/>
      <sz val="11"/>
      <color rgb="FF7B5000"/>
      <name val="Arial"/>
      <family val="2"/>
    </font>
    <font>
      <b/>
      <sz val="13"/>
      <color rgb="FFFFFFFF"/>
      <name val="Arial"/>
      <family val="2"/>
    </font>
    <font>
      <b/>
      <sz val="10"/>
      <color rgb="FF1F3864"/>
      <name val="Arial"/>
      <family val="2"/>
    </font>
    <font>
      <b/>
      <sz val="9"/>
      <color rgb="FF9B0000"/>
      <name val="Arial"/>
      <family val="2"/>
    </font>
    <font>
      <sz val="9"/>
      <color rgb="FF7B5000"/>
      <name val="Arial"/>
      <family val="2"/>
    </font>
    <font>
      <sz val="9"/>
      <color rgb="FF3D3D3D"/>
      <name val="Arial"/>
      <family val="2"/>
    </font>
    <font>
      <b/>
      <sz val="10"/>
      <color rgb="FF7B5000"/>
      <name val="Arial"/>
      <family val="2"/>
    </font>
    <font>
      <b/>
      <sz val="10"/>
      <color rgb="FF3D3D3D"/>
      <name val="Arial"/>
      <family val="2"/>
    </font>
    <font>
      <b/>
      <sz val="9"/>
      <color rgb="FF3D3D3D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1A5C38"/>
      <name val="Arial"/>
      <family val="2"/>
    </font>
    <font>
      <b/>
      <sz val="9"/>
      <color rgb="FF7B5000"/>
      <name val="Arial"/>
      <family val="2"/>
    </font>
    <font>
      <b/>
      <sz val="9"/>
      <color rgb="FFC55A11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4"/>
      <color rgb="FF3D3D3D"/>
      <name val="Arial"/>
      <family val="2"/>
    </font>
    <font>
      <b/>
      <sz val="14"/>
      <color rgb="FF9B0000"/>
      <name val="Arial"/>
      <family val="2"/>
    </font>
    <font>
      <b/>
      <sz val="14"/>
      <color rgb="FFC55A11"/>
      <name val="Arial"/>
      <family val="2"/>
    </font>
    <font>
      <b/>
      <sz val="14"/>
      <color rgb="FF7B5000"/>
      <name val="Arial"/>
      <family val="2"/>
    </font>
    <font>
      <b/>
      <sz val="14"/>
      <color rgb="FF1A5C38"/>
      <name val="Arial"/>
      <family val="2"/>
    </font>
    <font>
      <b/>
      <sz val="14"/>
      <color rgb="FF2E75B6"/>
      <name val="Arial"/>
      <family val="2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FFF3CD"/>
        <bgColor rgb="FFFDECEA"/>
      </patternFill>
    </fill>
    <fill>
      <patternFill patternType="solid">
        <fgColor rgb="FFFDECEA"/>
        <bgColor rgb="FFF4F4F4"/>
      </patternFill>
    </fill>
    <fill>
      <patternFill patternType="solid">
        <fgColor rgb="FFF4F4F4"/>
        <bgColor rgb="FFEBF3FB"/>
      </patternFill>
    </fill>
    <fill>
      <patternFill patternType="solid">
        <fgColor rgb="FFE2F0EA"/>
        <bgColor rgb="FFEBF3FB"/>
      </patternFill>
    </fill>
    <fill>
      <patternFill patternType="solid">
        <fgColor rgb="FFFCE4D6"/>
        <bgColor rgb="FFFDECEA"/>
      </patternFill>
    </fill>
  </fills>
  <borders count="13">
    <border>
      <left/>
      <right/>
      <top/>
      <bottom/>
      <diagonal/>
    </border>
    <border>
      <left style="thin">
        <color rgb="FFC07A00"/>
      </left>
      <right/>
      <top style="thin">
        <color rgb="FFC07A00"/>
      </top>
      <bottom style="thin">
        <color rgb="FFC07A0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9B0000"/>
      </left>
      <right/>
      <top style="thin">
        <color rgb="FF9B0000"/>
      </top>
      <bottom style="thin">
        <color rgb="FF9B0000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B0000"/>
      </left>
      <right style="thin">
        <color rgb="FF9B0000"/>
      </right>
      <top style="thin">
        <color rgb="FF9B0000"/>
      </top>
      <bottom style="thin">
        <color rgb="FF9B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7" fillId="6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 wrapText="1"/>
    </xf>
    <xf numFmtId="1" fontId="12" fillId="5" borderId="3" xfId="0" applyNumberFormat="1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left" vertical="center" wrapText="1"/>
    </xf>
    <xf numFmtId="1" fontId="12" fillId="8" borderId="3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18" fillId="10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21" fillId="5" borderId="5" xfId="0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center" vertical="center"/>
    </xf>
    <xf numFmtId="0" fontId="23" fillId="10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left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22" fillId="7" borderId="11" xfId="0" applyFont="1" applyFill="1" applyBorder="1" applyAlignment="1">
      <alignment horizontal="center" vertical="center"/>
    </xf>
    <xf numFmtId="0" fontId="23" fillId="10" borderId="10" xfId="0" applyFont="1" applyFill="1" applyBorder="1" applyAlignment="1">
      <alignment horizontal="center" vertical="center"/>
    </xf>
    <xf numFmtId="0" fontId="23" fillId="10" borderId="11" xfId="0" applyFont="1" applyFill="1" applyBorder="1" applyAlignment="1">
      <alignment horizontal="center" vertical="center"/>
    </xf>
    <xf numFmtId="0" fontId="24" fillId="6" borderId="10" xfId="0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/>
    </xf>
    <xf numFmtId="0" fontId="25" fillId="9" borderId="10" xfId="0" applyFont="1" applyFill="1" applyBorder="1" applyAlignment="1">
      <alignment horizontal="center" vertical="center"/>
    </xf>
    <xf numFmtId="0" fontId="25" fillId="9" borderId="11" xfId="0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/>
    </xf>
    <xf numFmtId="0" fontId="26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z val="10"/>
        <color rgb="FF1A5C38"/>
        <name val="Arial"/>
        <charset val="1"/>
      </font>
      <fill>
        <patternFill>
          <bgColor rgb="FFE2F0EA"/>
        </patternFill>
      </fill>
    </dxf>
    <dxf>
      <font>
        <b/>
        <sz val="10"/>
        <color rgb="FF7B5000"/>
        <name val="Arial"/>
        <charset val="1"/>
      </font>
      <fill>
        <patternFill>
          <bgColor rgb="FFFFF3CD"/>
        </patternFill>
      </fill>
    </dxf>
    <dxf>
      <font>
        <b/>
        <sz val="10"/>
        <color rgb="FFC55A11"/>
        <name val="Arial"/>
        <charset val="1"/>
      </font>
      <fill>
        <patternFill>
          <bgColor rgb="FFFCE4D6"/>
        </patternFill>
      </fill>
    </dxf>
    <dxf>
      <font>
        <b/>
        <sz val="10"/>
        <color rgb="FF9B0000"/>
        <name val="Arial"/>
        <charset val="1"/>
      </font>
      <fill>
        <patternFill>
          <bgColor rgb="FFFDEC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1A5C38"/>
      <rgbColor rgb="FF000080"/>
      <rgbColor rgb="FFC07A00"/>
      <rgbColor rgb="FF800080"/>
      <rgbColor rgb="FF008080"/>
      <rgbColor rgb="FFCCCCCC"/>
      <rgbColor rgb="FF808080"/>
      <rgbColor rgb="FF9999FF"/>
      <rgbColor rgb="FF993366"/>
      <rgbColor rgb="FFFFF3CD"/>
      <rgbColor rgb="FFE2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4F4F4"/>
      <rgbColor rgb="FFFDECEA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showGridLines="0" topLeftCell="A7" zoomScaleNormal="100" workbookViewId="0"/>
  </sheetViews>
  <sheetFormatPr defaultColWidth="8.6328125" defaultRowHeight="14.5" x14ac:dyDescent="0.35"/>
  <cols>
    <col min="1" max="1" width="3" customWidth="1"/>
    <col min="2" max="2" width="55" customWidth="1"/>
    <col min="3" max="3" width="45" customWidth="1"/>
  </cols>
  <sheetData>
    <row r="2" spans="2:3" ht="39.75" customHeight="1" x14ac:dyDescent="0.35">
      <c r="B2" s="13" t="s">
        <v>0</v>
      </c>
      <c r="C2" s="13"/>
    </row>
    <row r="3" spans="2:3" ht="19.5" customHeight="1" x14ac:dyDescent="0.35">
      <c r="B3" s="12" t="s">
        <v>1</v>
      </c>
      <c r="C3" s="12"/>
    </row>
    <row r="5" spans="2:3" ht="24" customHeight="1" x14ac:dyDescent="0.35">
      <c r="B5" s="11" t="s">
        <v>2</v>
      </c>
      <c r="C5" s="11"/>
    </row>
    <row r="6" spans="2:3" ht="55.5" customHeight="1" x14ac:dyDescent="0.35">
      <c r="B6" s="10" t="s">
        <v>3</v>
      </c>
      <c r="C6" s="10"/>
    </row>
    <row r="8" spans="2:3" ht="24" customHeight="1" x14ac:dyDescent="0.35">
      <c r="B8" s="11" t="s">
        <v>4</v>
      </c>
      <c r="C8" s="11"/>
    </row>
    <row r="9" spans="2:3" ht="27.75" customHeight="1" x14ac:dyDescent="0.35">
      <c r="B9" s="10" t="s">
        <v>5</v>
      </c>
      <c r="C9" s="10"/>
    </row>
    <row r="10" spans="2:3" ht="27.75" customHeight="1" x14ac:dyDescent="0.35">
      <c r="B10" s="10" t="s">
        <v>6</v>
      </c>
      <c r="C10" s="10"/>
    </row>
    <row r="11" spans="2:3" ht="27.75" customHeight="1" x14ac:dyDescent="0.35">
      <c r="B11" s="10" t="s">
        <v>7</v>
      </c>
      <c r="C11" s="10"/>
    </row>
    <row r="13" spans="2:3" ht="24" customHeight="1" x14ac:dyDescent="0.35">
      <c r="B13" s="9" t="s">
        <v>8</v>
      </c>
      <c r="C13" s="9"/>
    </row>
    <row r="14" spans="2:3" ht="24" customHeight="1" x14ac:dyDescent="0.35">
      <c r="B14" s="10" t="s">
        <v>9</v>
      </c>
      <c r="C14" s="10"/>
    </row>
    <row r="15" spans="2:3" ht="24" customHeight="1" x14ac:dyDescent="0.35">
      <c r="B15" s="10" t="s">
        <v>10</v>
      </c>
      <c r="C15" s="10"/>
    </row>
    <row r="16" spans="2:3" ht="24" customHeight="1" x14ac:dyDescent="0.35">
      <c r="B16" s="10" t="s">
        <v>11</v>
      </c>
      <c r="C16" s="10"/>
    </row>
    <row r="17" spans="2:3" ht="24" customHeight="1" x14ac:dyDescent="0.35">
      <c r="B17" s="10" t="s">
        <v>12</v>
      </c>
      <c r="C17" s="10"/>
    </row>
    <row r="18" spans="2:3" ht="24" customHeight="1" x14ac:dyDescent="0.35">
      <c r="B18" s="10" t="s">
        <v>13</v>
      </c>
      <c r="C18" s="10"/>
    </row>
    <row r="20" spans="2:3" ht="24" customHeight="1" x14ac:dyDescent="0.35">
      <c r="B20" s="9" t="s">
        <v>14</v>
      </c>
      <c r="C20" s="9"/>
    </row>
    <row r="21" spans="2:3" ht="24" customHeight="1" x14ac:dyDescent="0.35">
      <c r="B21" s="10" t="s">
        <v>15</v>
      </c>
      <c r="C21" s="10"/>
    </row>
    <row r="22" spans="2:3" ht="24" customHeight="1" x14ac:dyDescent="0.35">
      <c r="B22" s="10" t="s">
        <v>16</v>
      </c>
      <c r="C22" s="10"/>
    </row>
    <row r="23" spans="2:3" ht="24" customHeight="1" x14ac:dyDescent="0.35">
      <c r="B23" s="10" t="s">
        <v>17</v>
      </c>
      <c r="C23" s="10"/>
    </row>
  </sheetData>
  <mergeCells count="18">
    <mergeCell ref="B21:C21"/>
    <mergeCell ref="B22:C22"/>
    <mergeCell ref="B23:C23"/>
    <mergeCell ref="B15:C15"/>
    <mergeCell ref="B16:C16"/>
    <mergeCell ref="B17:C17"/>
    <mergeCell ref="B18:C18"/>
    <mergeCell ref="B20:C20"/>
    <mergeCell ref="B9:C9"/>
    <mergeCell ref="B10:C10"/>
    <mergeCell ref="B11:C11"/>
    <mergeCell ref="B13:C13"/>
    <mergeCell ref="B14:C14"/>
    <mergeCell ref="B2:C2"/>
    <mergeCell ref="B3:C3"/>
    <mergeCell ref="B5:C5"/>
    <mergeCell ref="B6:C6"/>
    <mergeCell ref="B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37"/>
  <sheetViews>
    <sheetView showGridLines="0" zoomScaleNormal="100" workbookViewId="0">
      <pane ySplit="7" topLeftCell="A10" activePane="bottomLeft" state="frozen"/>
      <selection pane="bottomLeft" activeCell="J10" sqref="J10"/>
    </sheetView>
  </sheetViews>
  <sheetFormatPr defaultColWidth="8.6328125" defaultRowHeight="14.5" x14ac:dyDescent="0.35"/>
  <cols>
    <col min="1" max="1" width="3" customWidth="1"/>
    <col min="2" max="2" width="8" customWidth="1"/>
    <col min="3" max="3" width="30" customWidth="1"/>
    <col min="4" max="4" width="22" customWidth="1"/>
    <col min="5" max="5" width="14" customWidth="1"/>
    <col min="6" max="8" width="12" customWidth="1"/>
    <col min="9" max="9" width="14" customWidth="1"/>
    <col min="10" max="10" width="28" customWidth="1"/>
    <col min="11" max="11" width="22" customWidth="1"/>
    <col min="12" max="12" width="16" customWidth="1"/>
    <col min="13" max="13" width="3" customWidth="1"/>
  </cols>
  <sheetData>
    <row r="2" spans="2:12" ht="33.75" customHeight="1" x14ac:dyDescent="0.35">
      <c r="B2" s="8" t="s">
        <v>18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ht="21.75" customHeight="1" x14ac:dyDescent="0.35">
      <c r="B3" s="7" t="s">
        <v>19</v>
      </c>
      <c r="C3" s="7"/>
      <c r="D3" s="7"/>
      <c r="E3" s="7"/>
      <c r="F3" s="7"/>
      <c r="G3" s="6" t="s">
        <v>20</v>
      </c>
      <c r="H3" s="6"/>
      <c r="I3" s="6"/>
      <c r="J3" s="6"/>
      <c r="K3" s="6"/>
      <c r="L3" s="6"/>
    </row>
    <row r="5" spans="2:12" ht="30" customHeight="1" x14ac:dyDescent="0.35">
      <c r="B5" s="5" t="s">
        <v>21</v>
      </c>
      <c r="C5" s="5"/>
      <c r="D5" s="5"/>
      <c r="E5" s="5"/>
      <c r="F5" s="5"/>
      <c r="G5" s="5"/>
      <c r="H5" s="5"/>
      <c r="I5" s="5"/>
      <c r="J5" s="5"/>
      <c r="K5" s="5"/>
      <c r="L5" s="5"/>
    </row>
    <row r="7" spans="2:12" ht="39.75" customHeight="1" x14ac:dyDescent="0.35">
      <c r="B7" s="14" t="s">
        <v>22</v>
      </c>
      <c r="C7" s="14" t="s">
        <v>23</v>
      </c>
      <c r="D7" s="14" t="s">
        <v>24</v>
      </c>
      <c r="E7" s="14" t="s">
        <v>25</v>
      </c>
      <c r="F7" s="14" t="s">
        <v>26</v>
      </c>
      <c r="G7" s="14" t="s">
        <v>27</v>
      </c>
      <c r="H7" s="14" t="s">
        <v>28</v>
      </c>
      <c r="I7" s="14" t="s">
        <v>29</v>
      </c>
      <c r="J7" s="14" t="s">
        <v>30</v>
      </c>
      <c r="K7" s="14" t="s">
        <v>31</v>
      </c>
      <c r="L7" s="14" t="s">
        <v>32</v>
      </c>
    </row>
    <row r="8" spans="2:12" ht="42" customHeight="1" x14ac:dyDescent="0.35">
      <c r="B8" s="15" t="s">
        <v>33</v>
      </c>
      <c r="C8" s="16" t="s">
        <v>34</v>
      </c>
      <c r="D8" s="16" t="s">
        <v>35</v>
      </c>
      <c r="E8" s="17" t="s">
        <v>36</v>
      </c>
      <c r="F8" s="18">
        <v>4</v>
      </c>
      <c r="G8" s="18">
        <v>5</v>
      </c>
      <c r="H8" s="19">
        <f t="shared" ref="H8:H27" si="0">F8*G8</f>
        <v>20</v>
      </c>
      <c r="I8" s="20" t="str">
        <f>IF(H8&gt;=17,"🔴 CRÍTICO",IF(H8&gt;=10,"🟠 ALTO",IF(H8&gt;=5,"🟡 MÉDIO","🟢 BAIXO")))</f>
        <v>🔴 CRÍTICO</v>
      </c>
      <c r="J8" s="16" t="s">
        <v>37</v>
      </c>
      <c r="K8" s="16" t="s">
        <v>38</v>
      </c>
      <c r="L8" s="17" t="s">
        <v>39</v>
      </c>
    </row>
    <row r="9" spans="2:12" ht="42" customHeight="1" x14ac:dyDescent="0.35">
      <c r="B9" s="15" t="s">
        <v>40</v>
      </c>
      <c r="C9" s="21" t="s">
        <v>41</v>
      </c>
      <c r="D9" s="21" t="s">
        <v>42</v>
      </c>
      <c r="E9" s="17" t="s">
        <v>43</v>
      </c>
      <c r="F9" s="18">
        <v>5</v>
      </c>
      <c r="G9" s="18">
        <v>4</v>
      </c>
      <c r="H9" s="22">
        <f t="shared" si="0"/>
        <v>20</v>
      </c>
      <c r="I9" s="23" t="str">
        <f t="shared" ref="I8:I17" si="1">IF(H9&gt;=17,"🔴 CRÍTICO",IF(H9&gt;=10,"🟠 ALTO",IF(H9&gt;=5,"🟡 MÉDIO","🟢 BAIXO")))</f>
        <v>🔴 CRÍTICO</v>
      </c>
      <c r="J9" s="21" t="s">
        <v>44</v>
      </c>
      <c r="K9" s="21" t="s">
        <v>45</v>
      </c>
      <c r="L9" s="17" t="s">
        <v>39</v>
      </c>
    </row>
    <row r="10" spans="2:12" ht="42" customHeight="1" x14ac:dyDescent="0.35">
      <c r="B10" s="15" t="s">
        <v>46</v>
      </c>
      <c r="C10" s="16" t="s">
        <v>47</v>
      </c>
      <c r="D10" s="16" t="s">
        <v>48</v>
      </c>
      <c r="E10" s="17" t="s">
        <v>49</v>
      </c>
      <c r="F10" s="18">
        <v>3</v>
      </c>
      <c r="G10" s="18">
        <v>4</v>
      </c>
      <c r="H10" s="19">
        <f t="shared" si="0"/>
        <v>12</v>
      </c>
      <c r="I10" s="20" t="str">
        <f t="shared" si="1"/>
        <v>🟠 ALTO</v>
      </c>
      <c r="J10" s="16" t="s">
        <v>50</v>
      </c>
      <c r="K10" s="16" t="s">
        <v>51</v>
      </c>
      <c r="L10" s="17" t="s">
        <v>39</v>
      </c>
    </row>
    <row r="11" spans="2:12" ht="42" customHeight="1" x14ac:dyDescent="0.35">
      <c r="B11" s="15" t="s">
        <v>52</v>
      </c>
      <c r="C11" s="21" t="s">
        <v>53</v>
      </c>
      <c r="D11" s="21" t="s">
        <v>54</v>
      </c>
      <c r="E11" s="17" t="s">
        <v>55</v>
      </c>
      <c r="F11" s="18">
        <v>3</v>
      </c>
      <c r="G11" s="18">
        <v>5</v>
      </c>
      <c r="H11" s="22">
        <f t="shared" si="0"/>
        <v>15</v>
      </c>
      <c r="I11" s="23" t="str">
        <f t="shared" si="1"/>
        <v>🟠 ALTO</v>
      </c>
      <c r="J11" s="21" t="s">
        <v>56</v>
      </c>
      <c r="K11" s="21" t="s">
        <v>57</v>
      </c>
      <c r="L11" s="17" t="s">
        <v>39</v>
      </c>
    </row>
    <row r="12" spans="2:12" ht="42" customHeight="1" x14ac:dyDescent="0.35">
      <c r="B12" s="15" t="s">
        <v>58</v>
      </c>
      <c r="C12" s="16" t="s">
        <v>59</v>
      </c>
      <c r="D12" s="16" t="s">
        <v>60</v>
      </c>
      <c r="E12" s="17" t="s">
        <v>61</v>
      </c>
      <c r="F12" s="18">
        <v>3</v>
      </c>
      <c r="G12" s="18">
        <v>4</v>
      </c>
      <c r="H12" s="22">
        <f t="shared" si="0"/>
        <v>12</v>
      </c>
      <c r="I12" s="20" t="str">
        <f t="shared" si="1"/>
        <v>🟠 ALTO</v>
      </c>
      <c r="J12" s="16" t="s">
        <v>62</v>
      </c>
      <c r="K12" s="16" t="s">
        <v>63</v>
      </c>
      <c r="L12" s="17" t="s">
        <v>151</v>
      </c>
    </row>
    <row r="13" spans="2:12" ht="42" customHeight="1" x14ac:dyDescent="0.35">
      <c r="B13" s="15" t="s">
        <v>64</v>
      </c>
      <c r="C13" s="21" t="s">
        <v>65</v>
      </c>
      <c r="D13" s="21" t="s">
        <v>66</v>
      </c>
      <c r="E13" s="17" t="s">
        <v>67</v>
      </c>
      <c r="F13" s="18">
        <v>2</v>
      </c>
      <c r="G13" s="18">
        <v>3</v>
      </c>
      <c r="H13" s="22">
        <f t="shared" si="0"/>
        <v>6</v>
      </c>
      <c r="I13" s="23" t="str">
        <f t="shared" si="1"/>
        <v>🟡 MÉDIO</v>
      </c>
      <c r="J13" s="21" t="s">
        <v>68</v>
      </c>
      <c r="K13" s="21" t="s">
        <v>69</v>
      </c>
      <c r="L13" s="17" t="s">
        <v>39</v>
      </c>
    </row>
    <row r="14" spans="2:12" ht="42" customHeight="1" x14ac:dyDescent="0.35">
      <c r="B14" s="15" t="s">
        <v>70</v>
      </c>
      <c r="C14" s="16" t="s">
        <v>71</v>
      </c>
      <c r="D14" s="16" t="s">
        <v>72</v>
      </c>
      <c r="E14" s="17" t="s">
        <v>73</v>
      </c>
      <c r="F14" s="18">
        <v>3</v>
      </c>
      <c r="G14" s="18">
        <v>4</v>
      </c>
      <c r="H14" s="19">
        <f t="shared" si="0"/>
        <v>12</v>
      </c>
      <c r="I14" s="20" t="str">
        <f t="shared" si="1"/>
        <v>🟠 ALTO</v>
      </c>
      <c r="J14" s="16" t="s">
        <v>74</v>
      </c>
      <c r="K14" s="16" t="s">
        <v>69</v>
      </c>
      <c r="L14" s="17" t="s">
        <v>151</v>
      </c>
    </row>
    <row r="15" spans="2:12" ht="42" customHeight="1" x14ac:dyDescent="0.35">
      <c r="B15" s="15" t="s">
        <v>75</v>
      </c>
      <c r="C15" s="21" t="s">
        <v>76</v>
      </c>
      <c r="D15" s="21" t="s">
        <v>77</v>
      </c>
      <c r="E15" s="17" t="s">
        <v>78</v>
      </c>
      <c r="F15" s="18">
        <v>4</v>
      </c>
      <c r="G15" s="18">
        <v>3</v>
      </c>
      <c r="H15" s="22">
        <f t="shared" si="0"/>
        <v>12</v>
      </c>
      <c r="I15" s="23" t="str">
        <f t="shared" si="1"/>
        <v>🟠 ALTO</v>
      </c>
      <c r="J15" s="21" t="s">
        <v>79</v>
      </c>
      <c r="K15" s="21" t="s">
        <v>69</v>
      </c>
      <c r="L15" s="17" t="s">
        <v>39</v>
      </c>
    </row>
    <row r="16" spans="2:12" ht="42" customHeight="1" x14ac:dyDescent="0.35">
      <c r="B16" s="15" t="s">
        <v>80</v>
      </c>
      <c r="C16" s="16" t="s">
        <v>81</v>
      </c>
      <c r="D16" s="16" t="s">
        <v>82</v>
      </c>
      <c r="E16" s="17" t="s">
        <v>49</v>
      </c>
      <c r="F16" s="18">
        <v>3</v>
      </c>
      <c r="G16" s="18">
        <v>5</v>
      </c>
      <c r="H16" s="19">
        <f t="shared" si="0"/>
        <v>15</v>
      </c>
      <c r="I16" s="20" t="str">
        <f t="shared" si="1"/>
        <v>🟠 ALTO</v>
      </c>
      <c r="J16" s="16" t="s">
        <v>83</v>
      </c>
      <c r="K16" s="16" t="s">
        <v>69</v>
      </c>
      <c r="L16" s="17" t="s">
        <v>152</v>
      </c>
    </row>
    <row r="17" spans="2:12" ht="42" customHeight="1" x14ac:dyDescent="0.35">
      <c r="B17" s="15" t="s">
        <v>84</v>
      </c>
      <c r="C17" s="21" t="s">
        <v>85</v>
      </c>
      <c r="D17" s="21" t="s">
        <v>86</v>
      </c>
      <c r="E17" s="17" t="s">
        <v>61</v>
      </c>
      <c r="F17" s="18">
        <v>4</v>
      </c>
      <c r="G17" s="18">
        <v>3</v>
      </c>
      <c r="H17" s="22">
        <f t="shared" si="0"/>
        <v>12</v>
      </c>
      <c r="I17" s="23" t="str">
        <f t="shared" si="1"/>
        <v>🟠 ALTO</v>
      </c>
      <c r="J17" s="21" t="s">
        <v>87</v>
      </c>
      <c r="K17" s="21" t="s">
        <v>45</v>
      </c>
      <c r="L17" s="17" t="s">
        <v>88</v>
      </c>
    </row>
    <row r="18" spans="2:12" ht="36" customHeight="1" x14ac:dyDescent="0.35">
      <c r="B18" s="15" t="s">
        <v>89</v>
      </c>
      <c r="C18" s="24"/>
      <c r="D18" s="24"/>
      <c r="E18" s="25"/>
      <c r="F18" s="26"/>
      <c r="G18" s="26"/>
      <c r="H18" s="27">
        <f t="shared" si="0"/>
        <v>0</v>
      </c>
      <c r="I18" s="28" t="str">
        <f t="shared" ref="I18:I37" si="2">IF(H18&gt;=17,"🔴 CRÍTICO",IF(H18&gt;=10,"🟠 ALTO",IF(H18&gt;=5,"🟡 MÉDIO",IF(H18&gt;0,"🟢 BAIXO",""))))</f>
        <v/>
      </c>
      <c r="J18" s="24"/>
      <c r="K18" s="24"/>
      <c r="L18" s="25"/>
    </row>
    <row r="19" spans="2:12" ht="36" customHeight="1" x14ac:dyDescent="0.35">
      <c r="B19" s="15" t="s">
        <v>90</v>
      </c>
      <c r="C19" s="29"/>
      <c r="D19" s="29"/>
      <c r="E19" s="25"/>
      <c r="F19" s="26"/>
      <c r="G19" s="26"/>
      <c r="H19" s="30">
        <f t="shared" si="0"/>
        <v>0</v>
      </c>
      <c r="I19" s="31" t="str">
        <f t="shared" si="2"/>
        <v/>
      </c>
      <c r="J19" s="29"/>
      <c r="K19" s="29"/>
      <c r="L19" s="25"/>
    </row>
    <row r="20" spans="2:12" ht="36" customHeight="1" x14ac:dyDescent="0.35">
      <c r="B20" s="15" t="s">
        <v>91</v>
      </c>
      <c r="C20" s="24"/>
      <c r="D20" s="24"/>
      <c r="E20" s="25"/>
      <c r="F20" s="26"/>
      <c r="G20" s="26"/>
      <c r="H20" s="27">
        <f t="shared" si="0"/>
        <v>0</v>
      </c>
      <c r="I20" s="28" t="str">
        <f t="shared" si="2"/>
        <v/>
      </c>
      <c r="J20" s="24"/>
      <c r="K20" s="24"/>
      <c r="L20" s="25"/>
    </row>
    <row r="21" spans="2:12" ht="36" customHeight="1" x14ac:dyDescent="0.35">
      <c r="B21" s="15" t="s">
        <v>92</v>
      </c>
      <c r="C21" s="29"/>
      <c r="D21" s="29"/>
      <c r="E21" s="25"/>
      <c r="F21" s="26"/>
      <c r="G21" s="26"/>
      <c r="H21" s="30">
        <f t="shared" si="0"/>
        <v>0</v>
      </c>
      <c r="I21" s="31" t="str">
        <f t="shared" si="2"/>
        <v/>
      </c>
      <c r="J21" s="29"/>
      <c r="K21" s="29"/>
      <c r="L21" s="25"/>
    </row>
    <row r="22" spans="2:12" ht="36" customHeight="1" x14ac:dyDescent="0.35">
      <c r="B22" s="15" t="s">
        <v>93</v>
      </c>
      <c r="C22" s="24"/>
      <c r="D22" s="24"/>
      <c r="E22" s="25"/>
      <c r="F22" s="26"/>
      <c r="G22" s="26"/>
      <c r="H22" s="27">
        <f t="shared" si="0"/>
        <v>0</v>
      </c>
      <c r="I22" s="28" t="str">
        <f t="shared" si="2"/>
        <v/>
      </c>
      <c r="J22" s="24"/>
      <c r="K22" s="24"/>
      <c r="L22" s="25"/>
    </row>
    <row r="23" spans="2:12" ht="36" customHeight="1" x14ac:dyDescent="0.35">
      <c r="B23" s="15" t="s">
        <v>94</v>
      </c>
      <c r="C23" s="29"/>
      <c r="D23" s="29"/>
      <c r="E23" s="25"/>
      <c r="F23" s="26"/>
      <c r="G23" s="26"/>
      <c r="H23" s="30">
        <f t="shared" si="0"/>
        <v>0</v>
      </c>
      <c r="I23" s="31" t="str">
        <f t="shared" si="2"/>
        <v/>
      </c>
      <c r="J23" s="29"/>
      <c r="K23" s="29"/>
      <c r="L23" s="25"/>
    </row>
    <row r="24" spans="2:12" ht="36" customHeight="1" x14ac:dyDescent="0.35">
      <c r="B24" s="15" t="s">
        <v>95</v>
      </c>
      <c r="C24" s="24"/>
      <c r="D24" s="24"/>
      <c r="E24" s="25"/>
      <c r="F24" s="26"/>
      <c r="G24" s="26"/>
      <c r="H24" s="27">
        <f t="shared" si="0"/>
        <v>0</v>
      </c>
      <c r="I24" s="28" t="str">
        <f t="shared" si="2"/>
        <v/>
      </c>
      <c r="J24" s="24"/>
      <c r="K24" s="24"/>
      <c r="L24" s="25"/>
    </row>
    <row r="25" spans="2:12" ht="36" customHeight="1" x14ac:dyDescent="0.35">
      <c r="B25" s="15" t="s">
        <v>96</v>
      </c>
      <c r="C25" s="29"/>
      <c r="D25" s="29"/>
      <c r="E25" s="25"/>
      <c r="F25" s="26"/>
      <c r="G25" s="26"/>
      <c r="H25" s="30">
        <f t="shared" si="0"/>
        <v>0</v>
      </c>
      <c r="I25" s="31" t="str">
        <f t="shared" si="2"/>
        <v/>
      </c>
      <c r="J25" s="29"/>
      <c r="K25" s="29"/>
      <c r="L25" s="25"/>
    </row>
    <row r="26" spans="2:12" ht="36" customHeight="1" x14ac:dyDescent="0.35">
      <c r="B26" s="15" t="s">
        <v>97</v>
      </c>
      <c r="C26" s="24"/>
      <c r="D26" s="24"/>
      <c r="E26" s="25"/>
      <c r="F26" s="26"/>
      <c r="G26" s="26"/>
      <c r="H26" s="27">
        <f t="shared" si="0"/>
        <v>0</v>
      </c>
      <c r="I26" s="28" t="str">
        <f t="shared" si="2"/>
        <v/>
      </c>
      <c r="J26" s="24"/>
      <c r="K26" s="24"/>
      <c r="L26" s="25"/>
    </row>
    <row r="27" spans="2:12" ht="36" customHeight="1" x14ac:dyDescent="0.35">
      <c r="B27" s="15" t="s">
        <v>98</v>
      </c>
      <c r="C27" s="29"/>
      <c r="D27" s="29"/>
      <c r="E27" s="25"/>
      <c r="F27" s="26"/>
      <c r="G27" s="26"/>
      <c r="H27" s="30">
        <f t="shared" si="0"/>
        <v>0</v>
      </c>
      <c r="I27" s="31" t="str">
        <f t="shared" si="2"/>
        <v/>
      </c>
      <c r="J27" s="29"/>
      <c r="K27" s="29"/>
      <c r="L27" s="25"/>
    </row>
    <row r="28" spans="2:12" ht="36" customHeight="1" x14ac:dyDescent="0.35">
      <c r="B28" s="15" t="s">
        <v>153</v>
      </c>
      <c r="C28" s="29"/>
      <c r="D28" s="29"/>
      <c r="E28" s="25"/>
      <c r="F28" s="26"/>
      <c r="G28" s="26"/>
      <c r="H28" s="30">
        <f t="shared" ref="H28:H37" si="3">F28*G28</f>
        <v>0</v>
      </c>
      <c r="I28" s="31" t="str">
        <f t="shared" si="2"/>
        <v/>
      </c>
      <c r="J28" s="29"/>
      <c r="K28" s="29"/>
      <c r="L28" s="25"/>
    </row>
    <row r="29" spans="2:12" ht="36" customHeight="1" x14ac:dyDescent="0.35">
      <c r="B29" s="15" t="s">
        <v>154</v>
      </c>
      <c r="C29" s="29"/>
      <c r="D29" s="29"/>
      <c r="E29" s="25"/>
      <c r="F29" s="26"/>
      <c r="G29" s="26"/>
      <c r="H29" s="30">
        <f t="shared" si="3"/>
        <v>0</v>
      </c>
      <c r="I29" s="31" t="str">
        <f t="shared" si="2"/>
        <v/>
      </c>
      <c r="J29" s="29"/>
      <c r="K29" s="29"/>
      <c r="L29" s="25"/>
    </row>
    <row r="30" spans="2:12" ht="36" customHeight="1" x14ac:dyDescent="0.35">
      <c r="B30" s="15" t="s">
        <v>155</v>
      </c>
      <c r="C30" s="29"/>
      <c r="D30" s="29"/>
      <c r="E30" s="25"/>
      <c r="F30" s="26"/>
      <c r="G30" s="26"/>
      <c r="H30" s="30">
        <f t="shared" si="3"/>
        <v>0</v>
      </c>
      <c r="I30" s="31" t="str">
        <f t="shared" si="2"/>
        <v/>
      </c>
      <c r="J30" s="29"/>
      <c r="K30" s="29"/>
      <c r="L30" s="25"/>
    </row>
    <row r="31" spans="2:12" ht="36" customHeight="1" x14ac:dyDescent="0.35">
      <c r="B31" s="15" t="s">
        <v>156</v>
      </c>
      <c r="C31" s="29"/>
      <c r="D31" s="29"/>
      <c r="E31" s="25"/>
      <c r="F31" s="26"/>
      <c r="G31" s="26"/>
      <c r="H31" s="30">
        <f t="shared" si="3"/>
        <v>0</v>
      </c>
      <c r="I31" s="31" t="str">
        <f t="shared" si="2"/>
        <v/>
      </c>
      <c r="J31" s="29"/>
      <c r="K31" s="29"/>
      <c r="L31" s="25"/>
    </row>
    <row r="32" spans="2:12" ht="36" customHeight="1" x14ac:dyDescent="0.35">
      <c r="B32" s="15" t="s">
        <v>157</v>
      </c>
      <c r="C32" s="29"/>
      <c r="D32" s="29"/>
      <c r="E32" s="25"/>
      <c r="F32" s="26"/>
      <c r="G32" s="26"/>
      <c r="H32" s="30">
        <f t="shared" si="3"/>
        <v>0</v>
      </c>
      <c r="I32" s="31" t="str">
        <f t="shared" si="2"/>
        <v/>
      </c>
      <c r="J32" s="29"/>
      <c r="K32" s="29"/>
      <c r="L32" s="25"/>
    </row>
    <row r="33" spans="2:12" ht="36" customHeight="1" x14ac:dyDescent="0.35">
      <c r="B33" s="15" t="s">
        <v>158</v>
      </c>
      <c r="C33" s="29"/>
      <c r="D33" s="29"/>
      <c r="E33" s="25"/>
      <c r="F33" s="26"/>
      <c r="G33" s="26"/>
      <c r="H33" s="30">
        <f t="shared" si="3"/>
        <v>0</v>
      </c>
      <c r="I33" s="31" t="str">
        <f t="shared" si="2"/>
        <v/>
      </c>
      <c r="J33" s="29"/>
      <c r="K33" s="29"/>
      <c r="L33" s="25"/>
    </row>
    <row r="34" spans="2:12" ht="36" customHeight="1" x14ac:dyDescent="0.35">
      <c r="B34" s="15" t="s">
        <v>159</v>
      </c>
      <c r="C34" s="29"/>
      <c r="D34" s="29"/>
      <c r="E34" s="25"/>
      <c r="F34" s="26"/>
      <c r="G34" s="26"/>
      <c r="H34" s="30">
        <f t="shared" si="3"/>
        <v>0</v>
      </c>
      <c r="I34" s="31" t="str">
        <f t="shared" si="2"/>
        <v/>
      </c>
      <c r="J34" s="29"/>
      <c r="K34" s="29"/>
      <c r="L34" s="25"/>
    </row>
    <row r="35" spans="2:12" ht="36" customHeight="1" x14ac:dyDescent="0.35">
      <c r="B35" s="15" t="s">
        <v>160</v>
      </c>
      <c r="C35" s="29"/>
      <c r="D35" s="29"/>
      <c r="E35" s="25"/>
      <c r="F35" s="26"/>
      <c r="G35" s="26"/>
      <c r="H35" s="30">
        <f t="shared" si="3"/>
        <v>0</v>
      </c>
      <c r="I35" s="31" t="str">
        <f t="shared" si="2"/>
        <v/>
      </c>
      <c r="J35" s="29"/>
      <c r="K35" s="29"/>
      <c r="L35" s="25"/>
    </row>
    <row r="36" spans="2:12" ht="36" customHeight="1" x14ac:dyDescent="0.35">
      <c r="B36" s="15" t="s">
        <v>161</v>
      </c>
      <c r="C36" s="29"/>
      <c r="D36" s="29"/>
      <c r="E36" s="25"/>
      <c r="F36" s="26"/>
      <c r="G36" s="26"/>
      <c r="H36" s="30">
        <f t="shared" si="3"/>
        <v>0</v>
      </c>
      <c r="I36" s="31" t="str">
        <f t="shared" si="2"/>
        <v/>
      </c>
      <c r="J36" s="29"/>
      <c r="K36" s="29"/>
      <c r="L36" s="25"/>
    </row>
    <row r="37" spans="2:12" ht="36" customHeight="1" x14ac:dyDescent="0.35">
      <c r="B37" s="15" t="s">
        <v>162</v>
      </c>
      <c r="C37" s="29"/>
      <c r="D37" s="29"/>
      <c r="E37" s="25"/>
      <c r="F37" s="26"/>
      <c r="G37" s="26"/>
      <c r="H37" s="30">
        <f t="shared" si="3"/>
        <v>0</v>
      </c>
      <c r="I37" s="31" t="str">
        <f t="shared" si="2"/>
        <v/>
      </c>
      <c r="J37" s="29"/>
      <c r="K37" s="29"/>
      <c r="L37" s="25"/>
    </row>
  </sheetData>
  <mergeCells count="4">
    <mergeCell ref="B2:L2"/>
    <mergeCell ref="B3:F3"/>
    <mergeCell ref="G3:L3"/>
    <mergeCell ref="B5:L5"/>
  </mergeCells>
  <phoneticPr fontId="27" type="noConversion"/>
  <conditionalFormatting sqref="H8:H40">
    <cfRule type="cellIs" dxfId="3" priority="2" operator="greaterThanOrEqual">
      <formula>17</formula>
    </cfRule>
    <cfRule type="cellIs" dxfId="2" priority="3" operator="between">
      <formula>10</formula>
      <formula>16</formula>
    </cfRule>
    <cfRule type="cellIs" dxfId="1" priority="4" operator="between">
      <formula>5</formula>
      <formula>9</formula>
    </cfRule>
    <cfRule type="cellIs" dxfId="0" priority="5" operator="between">
      <formula>1</formula>
      <formula>4</formula>
    </cfRule>
  </conditionalFormatting>
  <dataValidations count="3">
    <dataValidation type="list" allowBlank="1" sqref="F8:G60" xr:uid="{00000000-0002-0000-0100-000000000000}">
      <formula1>"1,2,3,4,5"</formula1>
      <formula2>0</formula2>
    </dataValidation>
    <dataValidation type="list" allowBlank="1" sqref="E8:E60" xr:uid="{00000000-0002-0000-0100-000002000000}">
      <formula1>"Ransomware,Phishing/BEC,Acesso não autorizado,DDoS,Falha de sistema,Erro humano,Fornecedor comprometido,Fuga de dados,Outro"</formula1>
      <formula2>0</formula2>
    </dataValidation>
    <dataValidation type="list" allowBlank="1" sqref="L8:L60" xr:uid="{00000000-0002-0000-0100-000003000000}">
      <formula1>"Aceitar,Mitigar,Transferir (Seguro),Evitar,Em curso,Concluído"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7"/>
  <sheetViews>
    <sheetView showGridLines="0" topLeftCell="A11" zoomScaleNormal="100" workbookViewId="0">
      <selection activeCell="L15" sqref="L15"/>
    </sheetView>
  </sheetViews>
  <sheetFormatPr defaultColWidth="8.6328125" defaultRowHeight="14.5" x14ac:dyDescent="0.35"/>
  <cols>
    <col min="1" max="1" width="3" customWidth="1"/>
    <col min="2" max="6" width="16" customWidth="1"/>
    <col min="7" max="7" width="18.26953125" customWidth="1"/>
  </cols>
  <sheetData>
    <row r="2" spans="2:7" ht="33.75" customHeight="1" x14ac:dyDescent="0.35">
      <c r="B2" s="8" t="s">
        <v>99</v>
      </c>
      <c r="C2" s="8"/>
      <c r="D2" s="8"/>
      <c r="E2" s="8"/>
      <c r="F2" s="8"/>
    </row>
    <row r="3" spans="2:7" ht="19.5" customHeight="1" x14ac:dyDescent="0.35">
      <c r="B3" s="12" t="s">
        <v>100</v>
      </c>
      <c r="C3" s="12"/>
      <c r="D3" s="12"/>
      <c r="E3" s="12"/>
      <c r="F3" s="12"/>
    </row>
    <row r="5" spans="2:7" ht="21.75" customHeight="1" x14ac:dyDescent="0.35">
      <c r="B5" s="4" t="s">
        <v>101</v>
      </c>
      <c r="C5" s="4"/>
      <c r="D5" s="4"/>
      <c r="E5" s="4"/>
      <c r="F5" s="4"/>
    </row>
    <row r="6" spans="2:7" ht="25.5" customHeight="1" x14ac:dyDescent="0.35">
      <c r="B6" s="14" t="s">
        <v>102</v>
      </c>
      <c r="C6" s="32" t="s">
        <v>103</v>
      </c>
      <c r="D6" s="32" t="s">
        <v>104</v>
      </c>
      <c r="E6" s="32" t="s">
        <v>105</v>
      </c>
      <c r="F6" s="32" t="s">
        <v>106</v>
      </c>
      <c r="G6" s="32" t="s">
        <v>107</v>
      </c>
    </row>
    <row r="7" spans="2:7" ht="51.75" customHeight="1" x14ac:dyDescent="0.35">
      <c r="B7" s="14" t="s">
        <v>108</v>
      </c>
      <c r="C7" s="33" t="s">
        <v>109</v>
      </c>
      <c r="D7" s="34" t="s">
        <v>110</v>
      </c>
      <c r="E7" s="35" t="s">
        <v>111</v>
      </c>
      <c r="F7" s="36" t="s">
        <v>112</v>
      </c>
      <c r="G7" s="36" t="s">
        <v>113</v>
      </c>
    </row>
    <row r="8" spans="2:7" ht="51.75" customHeight="1" x14ac:dyDescent="0.35">
      <c r="B8" s="14" t="s">
        <v>114</v>
      </c>
      <c r="C8" s="33" t="s">
        <v>115</v>
      </c>
      <c r="D8" s="34" t="s">
        <v>116</v>
      </c>
      <c r="E8" s="35" t="s">
        <v>117</v>
      </c>
      <c r="F8" s="36" t="s">
        <v>118</v>
      </c>
      <c r="G8" s="36" t="s">
        <v>119</v>
      </c>
    </row>
    <row r="9" spans="2:7" ht="51.75" customHeight="1" x14ac:dyDescent="0.35">
      <c r="B9" s="14" t="s">
        <v>120</v>
      </c>
      <c r="C9" s="33" t="s">
        <v>121</v>
      </c>
      <c r="D9" s="33" t="s">
        <v>122</v>
      </c>
      <c r="E9" s="34" t="s">
        <v>123</v>
      </c>
      <c r="F9" s="35" t="s">
        <v>124</v>
      </c>
      <c r="G9" s="36" t="s">
        <v>111</v>
      </c>
    </row>
    <row r="10" spans="2:7" ht="51.75" customHeight="1" x14ac:dyDescent="0.35">
      <c r="B10" s="14" t="s">
        <v>125</v>
      </c>
      <c r="C10" s="33" t="s">
        <v>126</v>
      </c>
      <c r="D10" s="33" t="s">
        <v>115</v>
      </c>
      <c r="E10" s="33" t="s">
        <v>122</v>
      </c>
      <c r="F10" s="34" t="s">
        <v>127</v>
      </c>
      <c r="G10" s="35" t="s">
        <v>110</v>
      </c>
    </row>
    <row r="11" spans="2:7" ht="51.75" customHeight="1" x14ac:dyDescent="0.35">
      <c r="B11" s="14" t="s">
        <v>128</v>
      </c>
      <c r="C11" s="33" t="s">
        <v>129</v>
      </c>
      <c r="D11" s="33" t="s">
        <v>126</v>
      </c>
      <c r="E11" s="33" t="s">
        <v>121</v>
      </c>
      <c r="F11" s="33" t="s">
        <v>115</v>
      </c>
      <c r="G11" s="34" t="s">
        <v>109</v>
      </c>
    </row>
    <row r="13" spans="2:7" ht="24" customHeight="1" x14ac:dyDescent="0.35">
      <c r="B13" s="3" t="s">
        <v>130</v>
      </c>
      <c r="C13" s="3"/>
      <c r="D13" s="3"/>
      <c r="E13" s="3"/>
      <c r="F13" s="3"/>
      <c r="G13" s="3"/>
    </row>
    <row r="14" spans="2:7" ht="21.75" customHeight="1" x14ac:dyDescent="0.35">
      <c r="B14" s="2" t="s">
        <v>131</v>
      </c>
      <c r="C14" s="2"/>
      <c r="D14" s="56" t="s">
        <v>132</v>
      </c>
      <c r="E14" s="57"/>
      <c r="F14" s="57"/>
      <c r="G14" s="58"/>
    </row>
    <row r="15" spans="2:7" ht="21.75" customHeight="1" x14ac:dyDescent="0.35">
      <c r="B15" s="1" t="s">
        <v>133</v>
      </c>
      <c r="C15" s="1"/>
      <c r="D15" s="53" t="s">
        <v>134</v>
      </c>
      <c r="E15" s="59"/>
      <c r="F15" s="59"/>
      <c r="G15" s="60"/>
    </row>
    <row r="16" spans="2:7" ht="21.75" customHeight="1" x14ac:dyDescent="0.35">
      <c r="B16" s="43" t="s">
        <v>135</v>
      </c>
      <c r="C16" s="43"/>
      <c r="D16" s="54" t="s">
        <v>136</v>
      </c>
      <c r="E16" s="61"/>
      <c r="F16" s="61"/>
      <c r="G16" s="62"/>
    </row>
    <row r="17" spans="2:7" ht="21.75" customHeight="1" x14ac:dyDescent="0.35">
      <c r="B17" s="44" t="s">
        <v>137</v>
      </c>
      <c r="C17" s="44"/>
      <c r="D17" s="55" t="s">
        <v>138</v>
      </c>
      <c r="E17" s="63"/>
      <c r="F17" s="63"/>
      <c r="G17" s="64"/>
    </row>
  </sheetData>
  <mergeCells count="12">
    <mergeCell ref="B15:C15"/>
    <mergeCell ref="B16:C16"/>
    <mergeCell ref="B17:C17"/>
    <mergeCell ref="D15:G15"/>
    <mergeCell ref="D16:G16"/>
    <mergeCell ref="D17:G17"/>
    <mergeCell ref="B2:F2"/>
    <mergeCell ref="B3:F3"/>
    <mergeCell ref="B5:F5"/>
    <mergeCell ref="B14:C14"/>
    <mergeCell ref="B13:G13"/>
    <mergeCell ref="D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6"/>
  <sheetViews>
    <sheetView showGridLines="0" tabSelected="1" zoomScaleNormal="100" workbookViewId="0">
      <selection activeCell="E20" sqref="E20"/>
    </sheetView>
  </sheetViews>
  <sheetFormatPr defaultColWidth="8.6328125" defaultRowHeight="14.5" x14ac:dyDescent="0.35"/>
  <cols>
    <col min="1" max="1" width="3" customWidth="1"/>
    <col min="2" max="2" width="34.453125" customWidth="1"/>
    <col min="3" max="3" width="25.7265625" customWidth="1"/>
    <col min="4" max="4" width="12.26953125" customWidth="1"/>
    <col min="5" max="5" width="8.453125" customWidth="1"/>
    <col min="6" max="6" width="12.81640625" customWidth="1"/>
    <col min="7" max="7" width="3" customWidth="1"/>
  </cols>
  <sheetData>
    <row r="2" spans="2:6" ht="33.75" customHeight="1" x14ac:dyDescent="0.35">
      <c r="B2" s="45" t="s">
        <v>139</v>
      </c>
      <c r="C2" s="45"/>
      <c r="D2" s="45"/>
      <c r="E2" s="45"/>
      <c r="F2" s="45"/>
    </row>
    <row r="4" spans="2:6" ht="25.5" customHeight="1" x14ac:dyDescent="0.35">
      <c r="B4" s="46" t="s">
        <v>140</v>
      </c>
      <c r="C4" s="46"/>
      <c r="D4" s="46"/>
      <c r="E4" s="46"/>
      <c r="F4" s="46"/>
    </row>
    <row r="5" spans="2:6" ht="30" customHeight="1" x14ac:dyDescent="0.35">
      <c r="B5" s="37" t="s">
        <v>141</v>
      </c>
      <c r="C5" s="47">
        <f>COUNTA('🎯 REGISTO DE RISCOS'!C8:C40)</f>
        <v>10</v>
      </c>
      <c r="D5" s="66"/>
      <c r="E5" s="66"/>
      <c r="F5" s="67"/>
    </row>
    <row r="6" spans="2:6" ht="30" customHeight="1" x14ac:dyDescent="0.35">
      <c r="B6" s="38" t="s">
        <v>142</v>
      </c>
      <c r="C6" s="48">
        <f>COUNTIF('🎯 REGISTO DE RISCOS'!H8:H40,"&gt;="&amp;17)</f>
        <v>2</v>
      </c>
      <c r="D6" s="68"/>
      <c r="E6" s="68"/>
      <c r="F6" s="69"/>
    </row>
    <row r="7" spans="2:6" ht="30" customHeight="1" x14ac:dyDescent="0.35">
      <c r="B7" s="39" t="s">
        <v>143</v>
      </c>
      <c r="C7" s="49">
        <f>COUNTIFS('🎯 REGISTO DE RISCOS'!H8:H40,"&gt;="&amp;10,'🎯 REGISTO DE RISCOS'!H8:H40,"&lt;"&amp;17)</f>
        <v>7</v>
      </c>
      <c r="D7" s="70"/>
      <c r="E7" s="70"/>
      <c r="F7" s="71"/>
    </row>
    <row r="8" spans="2:6" ht="30" customHeight="1" x14ac:dyDescent="0.35">
      <c r="B8" s="40" t="s">
        <v>144</v>
      </c>
      <c r="C8" s="50">
        <f>COUNTIFS('🎯 REGISTO DE RISCOS'!H8:H40,"&gt;="&amp;5,'🎯 REGISTO DE RISCOS'!H8:H40,"&lt;"&amp;10)</f>
        <v>1</v>
      </c>
      <c r="D8" s="72"/>
      <c r="E8" s="72"/>
      <c r="F8" s="73"/>
    </row>
    <row r="9" spans="2:6" ht="30" customHeight="1" x14ac:dyDescent="0.35">
      <c r="B9" s="41" t="s">
        <v>145</v>
      </c>
      <c r="C9" s="51">
        <f>COUNTIFS('🎯 REGISTO DE RISCOS'!H8:H40,"&gt;="&amp;1,'🎯 REGISTO DE RISCOS'!H8:H40,"&lt;"&amp;5)</f>
        <v>0</v>
      </c>
      <c r="D9" s="74"/>
      <c r="E9" s="74"/>
      <c r="F9" s="75"/>
    </row>
    <row r="11" spans="2:6" ht="25.5" customHeight="1" x14ac:dyDescent="0.35">
      <c r="B11" s="46" t="s">
        <v>146</v>
      </c>
      <c r="C11" s="46"/>
      <c r="D11" s="46"/>
      <c r="E11" s="46"/>
      <c r="F11" s="46"/>
    </row>
    <row r="12" spans="2:6" ht="30" customHeight="1" x14ac:dyDescent="0.35">
      <c r="B12" s="40" t="s">
        <v>147</v>
      </c>
      <c r="C12" s="50">
        <f>COUNTIF('🎯 REGISTO DE RISCOS'!L8:L40,"Em curso")</f>
        <v>2</v>
      </c>
      <c r="D12" s="72"/>
      <c r="E12" s="72"/>
      <c r="F12" s="73"/>
    </row>
    <row r="13" spans="2:6" ht="30" customHeight="1" x14ac:dyDescent="0.35">
      <c r="B13" s="41" t="s">
        <v>148</v>
      </c>
      <c r="C13" s="51">
        <f>COUNTIF('🎯 REGISTO DE RISCOS'!L8:L40,"Concluído")</f>
        <v>1</v>
      </c>
      <c r="D13" s="74"/>
      <c r="E13" s="74"/>
      <c r="F13" s="75"/>
    </row>
    <row r="14" spans="2:6" ht="30" customHeight="1" x14ac:dyDescent="0.35">
      <c r="B14" s="42" t="s">
        <v>149</v>
      </c>
      <c r="C14" s="76">
        <f>COUNTIF('🎯 REGISTO DE RISCOS'!L8:L40,"Transferir (Seguro)")</f>
        <v>0</v>
      </c>
      <c r="D14" s="77"/>
      <c r="E14" s="77"/>
      <c r="F14" s="78"/>
    </row>
    <row r="16" spans="2:6" ht="27.75" customHeight="1" x14ac:dyDescent="0.35">
      <c r="B16" s="52" t="s">
        <v>150</v>
      </c>
      <c r="C16" s="52"/>
      <c r="D16" s="52"/>
      <c r="E16" s="52"/>
      <c r="F16" s="65"/>
    </row>
  </sheetData>
  <mergeCells count="12">
    <mergeCell ref="B16:F16"/>
    <mergeCell ref="C5:F5"/>
    <mergeCell ref="C6:F6"/>
    <mergeCell ref="C7:F7"/>
    <mergeCell ref="C8:F8"/>
    <mergeCell ref="C9:F9"/>
    <mergeCell ref="C12:F12"/>
    <mergeCell ref="C13:F13"/>
    <mergeCell ref="C14:F14"/>
    <mergeCell ref="B11:F11"/>
    <mergeCell ref="B2:F2"/>
    <mergeCell ref="B4:F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📋 INSTRUÇÕES</vt:lpstr>
      <vt:lpstr>🎯 REGISTO DE RISCOS</vt:lpstr>
      <vt:lpstr>🗺️ MATRIZ DE RISCO</vt:lpstr>
      <vt:lpstr>📈 PAINEL DE CONTROLO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EMERSON LUIZ SANTOS</cp:lastModifiedBy>
  <cp:revision>0</cp:revision>
  <dcterms:created xsi:type="dcterms:W3CDTF">2026-03-07T10:55:13Z</dcterms:created>
  <dcterms:modified xsi:type="dcterms:W3CDTF">2026-03-12T22:28:48Z</dcterms:modified>
  <dc:language>en-US</dc:language>
</cp:coreProperties>
</file>