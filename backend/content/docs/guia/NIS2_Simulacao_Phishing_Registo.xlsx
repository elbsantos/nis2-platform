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🎣 REGISTO DE EXERCÍCIOS" sheetId="2" state="visible" r:id="rId2"/>
    <sheet xmlns:r="http://schemas.openxmlformats.org/officeDocument/2006/relationships" name="📊 EVOLU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0"/>
    </font>
    <font>
      <sz val="9"/>
    </font>
    <font>
      <color rgb="007B5000"/>
      <sz val="9"/>
    </font>
    <font>
      <b val="1"/>
      <color rgb="00FFFFFF"/>
      <sz val="9"/>
    </font>
    <font>
      <sz val="10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CE4D6"/>
      </patternFill>
    </fill>
    <fill>
      <patternFill patternType="solid">
        <fgColor rgb="00FDECEA"/>
      </patternFill>
    </fill>
    <fill>
      <patternFill patternType="solid">
        <fgColor rgb="00E2F0EA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 indent="1"/>
    </xf>
    <xf numFmtId="0" fontId="1" fillId="2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164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SIMULAÇÃO DE PHISHING — REGISTO DE EXERCÍCIOS  ·  Art. 21.º §2(g) NIS2</t>
        </is>
      </c>
    </row>
    <row r="4" ht="20" customHeight="1">
      <c r="B4" s="2" t="inlineStr">
        <is>
          <t>📌  PARA QUE SERVE</t>
        </is>
      </c>
    </row>
    <row r="5" ht="28" customHeight="1">
      <c r="B5" s="3" t="inlineStr">
        <is>
          <t>O phishing é o vetor de ataque mais comum contra PME. Simular ataques permite medir a resistência real</t>
        </is>
      </c>
    </row>
    <row r="6" ht="28" customHeight="1">
      <c r="B6" s="3" t="inlineStr">
        <is>
          <t>dos colaboradores e dirigir a formação a quem dela precisa. A NIS2 valoriza a demonstração de melhoria contínua.</t>
        </is>
      </c>
    </row>
    <row r="8" ht="20" customHeight="1">
      <c r="B8" s="2" t="inlineStr">
        <is>
          <t>🚫  REGRA ESSENCIAL — NÃO EXPOR QUEM FALHA</t>
        </is>
      </c>
    </row>
    <row r="9" ht="28" customHeight="1">
      <c r="B9" s="3" t="inlineStr">
        <is>
          <t>Nunca divulgue nomes de quem clicou, nem repreenda publicamente. O objetivo é formar, não punir.</t>
        </is>
      </c>
    </row>
    <row r="10" ht="28" customHeight="1">
      <c r="B10" s="3" t="inlineStr">
        <is>
          <t>Uma cultura de medo tem um efeito perverso e perigoso: os incidentes REAIS deixam de ser reportados,</t>
        </is>
      </c>
    </row>
    <row r="11" ht="28" customHeight="1">
      <c r="B11" s="3" t="inlineStr">
        <is>
          <t>porque as pessoas receiam as consequências. Trate os resultados de forma agregada e confidencial.</t>
        </is>
      </c>
    </row>
    <row r="13" ht="20" customHeight="1">
      <c r="B13" s="2" t="inlineStr">
        <is>
          <t>✅  COMO EXECUTAR</t>
        </is>
      </c>
    </row>
    <row r="14" ht="28" customHeight="1">
      <c r="B14" s="3" t="inlineStr">
        <is>
          <t>1.  Use uma ferramenta de simulação (o Microsoft 365 Defender inclui esta função nos planos de negócio;</t>
        </is>
      </c>
    </row>
    <row r="15" ht="16" customHeight="1">
      <c r="B15" s="3" t="inlineStr">
        <is>
          <t xml:space="preserve">     existem também opções gratuitas) ou prepare internamente um email de teste.</t>
        </is>
      </c>
    </row>
    <row r="16" ht="28" customHeight="1">
      <c r="B16" s="3" t="inlineStr">
        <is>
          <t>2.  Crie um cenário CREDÍVEL para o contexto da empresa: uma fatura pendente, um pedido do fornecedor</t>
        </is>
      </c>
    </row>
    <row r="17" ht="28" customHeight="1">
      <c r="B17" s="3" t="inlineStr">
        <is>
          <t xml:space="preserve">     habitual, uma alteração de dados bancários. Cenários genéricos dão resultados enganadores.</t>
        </is>
      </c>
    </row>
    <row r="18" ht="16" customHeight="1">
      <c r="B18" s="3" t="inlineStr">
        <is>
          <t>3.  Envie a um grupo alargado, sem aviso prévio.</t>
        </is>
      </c>
    </row>
    <row r="19" ht="16" customHeight="1">
      <c r="B19" s="3" t="inlineStr">
        <is>
          <t>4.  Meça: quantos abriram, quantos clicaram, quantos introduziram credenciais.</t>
        </is>
      </c>
    </row>
    <row r="20" ht="16" customHeight="1">
      <c r="B20" s="3" t="inlineStr">
        <is>
          <t>5.  Ofereça formação de reforço a quem clicou — individualmente e sem exposição.</t>
        </is>
      </c>
    </row>
    <row r="21" ht="16" customHeight="1">
      <c r="B21" s="3" t="inlineStr">
        <is>
          <t>6.  Repita variando o cenário. O que interessa ao auditor é a TENDÊNCIA, não o valor absoluto.</t>
        </is>
      </c>
    </row>
    <row r="23" ht="20" customHeight="1">
      <c r="B23" s="2" t="inlineStr">
        <is>
          <t>🎯  META DE REFERÊNCIA</t>
        </is>
      </c>
    </row>
    <row r="24" ht="16" customHeight="1">
      <c r="B24" s="3" t="inlineStr">
        <is>
          <t>Taxa de cliques inferior a 5%. Acima de 15% indica necessidade de formação urgente e dirigida.</t>
        </is>
      </c>
    </row>
    <row r="26" ht="20" customHeight="1">
      <c r="B26" s="2" t="inlineStr">
        <is>
          <t>📅  PERIODICIDADE</t>
        </is>
      </c>
    </row>
    <row r="27" ht="28" customHeight="1">
      <c r="B27" s="3" t="inlineStr">
        <is>
          <t>Trimestral. Alterne cenários para evitar que os colaboradores reconheçam o padrão da simulação.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30" customWidth="1" min="4" max="4"/>
    <col width="10" customWidth="1" min="5" max="5"/>
    <col width="10" customWidth="1" min="6" max="6"/>
    <col width="10" customWidth="1" min="7" max="7"/>
    <col width="11" customWidth="1" min="8" max="8"/>
    <col width="13" customWidth="1" min="9" max="9"/>
    <col width="14" customWidth="1" min="10" max="10"/>
    <col width="30" customWidth="1" min="11" max="11"/>
    <col width="3" customWidth="1" min="12" max="12"/>
  </cols>
  <sheetData>
    <row r="2" ht="26" customHeight="1">
      <c r="B2" s="4" t="inlineStr">
        <is>
          <t>REGISTO DE SIMULAÇÕES DE PHISHING</t>
        </is>
      </c>
    </row>
    <row r="3" ht="20" customHeight="1">
      <c r="B3" s="5" t="inlineStr">
        <is>
          <t>Empresa: [Nome]   |   Responsável: ___________________   |   Ano: ______</t>
        </is>
      </c>
    </row>
    <row r="5" ht="32" customHeight="1">
      <c r="B5" s="6" t="inlineStr">
        <is>
          <t>⚠️  Registe apenas dados AGREGADOS. Não inclua nomes de colaboradores nesta folha — a identificação individual serve só para a formação de reforço, e é confidencial.</t>
        </is>
      </c>
    </row>
    <row r="7" ht="30" customHeight="1">
      <c r="B7" s="7" t="inlineStr">
        <is>
          <t>ID</t>
        </is>
      </c>
      <c r="C7" s="7" t="inlineStr">
        <is>
          <t>Data</t>
        </is>
      </c>
      <c r="D7" s="7" t="inlineStr">
        <is>
          <t>Cenário Utilizado</t>
        </is>
      </c>
      <c r="E7" s="7" t="inlineStr">
        <is>
          <t>N.º
Enviados</t>
        </is>
      </c>
      <c r="F7" s="7" t="inlineStr">
        <is>
          <t>N.º
Abriram</t>
        </is>
      </c>
      <c r="G7" s="7" t="inlineStr">
        <is>
          <t>N.º
Clicaram</t>
        </is>
      </c>
      <c r="H7" s="7" t="inlineStr">
        <is>
          <t>Taxa de
Cliques</t>
        </is>
      </c>
      <c r="I7" s="7" t="inlineStr">
        <is>
          <t>N.º Introduziu
Credenciais</t>
        </is>
      </c>
      <c r="J7" s="7" t="inlineStr">
        <is>
          <t>Avaliação</t>
        </is>
      </c>
      <c r="K7" s="7" t="inlineStr">
        <is>
          <t>Ações de Seguimento</t>
        </is>
      </c>
    </row>
    <row r="8" ht="30" customHeight="1">
      <c r="B8" s="8" t="inlineStr">
        <is>
          <t>PH-001</t>
        </is>
      </c>
      <c r="C8" s="9" t="inlineStr">
        <is>
          <t>2026-02-10</t>
        </is>
      </c>
      <c r="D8" s="10" t="inlineStr">
        <is>
          <t>Fatura pendente de fornecedor habitual</t>
        </is>
      </c>
      <c r="E8" s="10" t="n">
        <v>42</v>
      </c>
      <c r="F8" s="10" t="n">
        <v>28</v>
      </c>
      <c r="G8" s="10" t="n">
        <v>9</v>
      </c>
      <c r="H8" s="11">
        <f>IF(E8="","",G8/E8)</f>
        <v/>
      </c>
      <c r="I8" s="10" t="n">
        <v>3</v>
      </c>
      <c r="J8" s="12" t="inlineStr">
        <is>
          <t>🔴 Elevada</t>
        </is>
      </c>
      <c r="K8" s="9" t="inlineStr">
        <is>
          <t>Formação de reforço a 9 colaboradores. Repetir em 30 dias.</t>
        </is>
      </c>
    </row>
    <row r="9" ht="30" customHeight="1">
      <c r="B9" s="8" t="inlineStr">
        <is>
          <t>PH-002</t>
        </is>
      </c>
      <c r="C9" s="9" t="inlineStr">
        <is>
          <t>2026-05-14</t>
        </is>
      </c>
      <c r="D9" s="10" t="inlineStr">
        <is>
          <t>Alteração de dados bancários (CEO fraud)</t>
        </is>
      </c>
      <c r="E9" s="10" t="n">
        <v>42</v>
      </c>
      <c r="F9" s="10" t="n">
        <v>19</v>
      </c>
      <c r="G9" s="10" t="n">
        <v>4</v>
      </c>
      <c r="H9" s="13">
        <f>IF(E9="","",G9/E9)</f>
        <v/>
      </c>
      <c r="I9" s="10" t="n">
        <v>1</v>
      </c>
      <c r="J9" s="8" t="inlineStr">
        <is>
          <t>🟠 Moderada</t>
        </is>
      </c>
      <c r="K9" s="9" t="inlineStr">
        <is>
          <t>Melhoria face ao trimestre anterior. Manter formação.</t>
        </is>
      </c>
    </row>
    <row r="10" ht="30" customHeight="1">
      <c r="B10" s="8" t="inlineStr">
        <is>
          <t>PH-003</t>
        </is>
      </c>
      <c r="C10" s="9" t="inlineStr">
        <is>
          <t>2026-08-20</t>
        </is>
      </c>
      <c r="D10" s="10" t="inlineStr">
        <is>
          <t>Renovação de palavra-passe do email</t>
        </is>
      </c>
      <c r="E10" s="10" t="n">
        <v>44</v>
      </c>
      <c r="F10" s="10" t="n">
        <v>12</v>
      </c>
      <c r="G10" s="10" t="n">
        <v>2</v>
      </c>
      <c r="H10" s="14">
        <f>IF(E10="","",G10/E10)</f>
        <v/>
      </c>
      <c r="I10" s="10" t="n">
        <v>0</v>
      </c>
      <c r="J10" s="15" t="inlineStr">
        <is>
          <t>🟢 Boa</t>
        </is>
      </c>
      <c r="K10" s="9" t="inlineStr">
        <is>
          <t>Abaixo da meta de 5%. Manter periodicidade trimestral.</t>
        </is>
      </c>
    </row>
    <row r="11" ht="30" customHeight="1">
      <c r="B11" s="16" t="inlineStr">
        <is>
          <t>PH-004</t>
        </is>
      </c>
      <c r="C11" s="10" t="inlineStr"/>
      <c r="D11" s="10" t="inlineStr"/>
      <c r="E11" s="10" t="inlineStr"/>
      <c r="F11" s="10" t="inlineStr"/>
      <c r="G11" s="10" t="inlineStr"/>
      <c r="H11" s="17">
        <f>IF(E11="","",G11/E11)</f>
        <v/>
      </c>
      <c r="I11" s="10" t="inlineStr"/>
      <c r="J11" s="10" t="inlineStr"/>
      <c r="K11" s="10" t="inlineStr"/>
    </row>
    <row r="12" ht="30" customHeight="1">
      <c r="B12" s="16" t="inlineStr">
        <is>
          <t>PH-005</t>
        </is>
      </c>
      <c r="C12" s="10" t="inlineStr"/>
      <c r="D12" s="10" t="inlineStr"/>
      <c r="E12" s="10" t="inlineStr"/>
      <c r="F12" s="10" t="inlineStr"/>
      <c r="G12" s="10" t="inlineStr"/>
      <c r="H12" s="17">
        <f>IF(E12="","",G12/E12)</f>
        <v/>
      </c>
      <c r="I12" s="10" t="inlineStr"/>
      <c r="J12" s="10" t="inlineStr"/>
      <c r="K12" s="10" t="inlineStr"/>
    </row>
    <row r="13" ht="30" customHeight="1">
      <c r="B13" s="16" t="inlineStr">
        <is>
          <t>PH-006</t>
        </is>
      </c>
      <c r="C13" s="10" t="inlineStr"/>
      <c r="D13" s="10" t="inlineStr"/>
      <c r="E13" s="10" t="inlineStr"/>
      <c r="F13" s="10" t="inlineStr"/>
      <c r="G13" s="10" t="inlineStr"/>
      <c r="H13" s="17">
        <f>IF(E13="","",G13/E13)</f>
        <v/>
      </c>
      <c r="I13" s="10" t="inlineStr"/>
      <c r="J13" s="10" t="inlineStr"/>
      <c r="K13" s="10" t="inlineStr"/>
    </row>
    <row r="14" ht="30" customHeight="1">
      <c r="B14" s="16" t="inlineStr">
        <is>
          <t>PH-007</t>
        </is>
      </c>
      <c r="C14" s="10" t="inlineStr"/>
      <c r="D14" s="10" t="inlineStr"/>
      <c r="E14" s="10" t="inlineStr"/>
      <c r="F14" s="10" t="inlineStr"/>
      <c r="G14" s="10" t="inlineStr"/>
      <c r="H14" s="17">
        <f>IF(E14="","",G14/E14)</f>
        <v/>
      </c>
      <c r="I14" s="10" t="inlineStr"/>
      <c r="J14" s="10" t="inlineStr"/>
      <c r="K14" s="10" t="inlineStr"/>
    </row>
    <row r="15" ht="30" customHeight="1">
      <c r="B15" s="16" t="inlineStr">
        <is>
          <t>PH-008</t>
        </is>
      </c>
      <c r="C15" s="10" t="inlineStr"/>
      <c r="D15" s="10" t="inlineStr"/>
      <c r="E15" s="10" t="inlineStr"/>
      <c r="F15" s="10" t="inlineStr"/>
      <c r="G15" s="10" t="inlineStr"/>
      <c r="H15" s="17">
        <f>IF(E15="","",G15/E15)</f>
        <v/>
      </c>
      <c r="I15" s="10" t="inlineStr"/>
      <c r="J15" s="10" t="inlineStr"/>
      <c r="K15" s="10" t="inlineStr"/>
    </row>
    <row r="16" ht="30" customHeight="1">
      <c r="B16" s="16" t="inlineStr">
        <is>
          <t>PH-009</t>
        </is>
      </c>
      <c r="C16" s="10" t="inlineStr"/>
      <c r="D16" s="10" t="inlineStr"/>
      <c r="E16" s="10" t="inlineStr"/>
      <c r="F16" s="10" t="inlineStr"/>
      <c r="G16" s="10" t="inlineStr"/>
      <c r="H16" s="17">
        <f>IF(E16="","",G16/E16)</f>
        <v/>
      </c>
      <c r="I16" s="10" t="inlineStr"/>
      <c r="J16" s="10" t="inlineStr"/>
      <c r="K16" s="10" t="inlineStr"/>
    </row>
    <row r="17" ht="30" customHeight="1">
      <c r="B17" s="16" t="inlineStr">
        <is>
          <t>PH-010</t>
        </is>
      </c>
      <c r="C17" s="10" t="inlineStr"/>
      <c r="D17" s="10" t="inlineStr"/>
      <c r="E17" s="10" t="inlineStr"/>
      <c r="F17" s="10" t="inlineStr"/>
      <c r="G17" s="10" t="inlineStr"/>
      <c r="H17" s="17">
        <f>IF(E17="","",G17/E17)</f>
        <v/>
      </c>
      <c r="I17" s="10" t="inlineStr"/>
      <c r="J17" s="10" t="inlineStr"/>
      <c r="K17" s="10" t="inlineStr"/>
    </row>
    <row r="18" ht="30" customHeight="1">
      <c r="B18" s="16" t="inlineStr">
        <is>
          <t>PH-011</t>
        </is>
      </c>
      <c r="C18" s="10" t="inlineStr"/>
      <c r="D18" s="10" t="inlineStr"/>
      <c r="E18" s="10" t="inlineStr"/>
      <c r="F18" s="10" t="inlineStr"/>
      <c r="G18" s="10" t="inlineStr"/>
      <c r="H18" s="17">
        <f>IF(E18="","",G18/E18)</f>
        <v/>
      </c>
      <c r="I18" s="10" t="inlineStr"/>
      <c r="J18" s="10" t="inlineStr"/>
      <c r="K18" s="10" t="inlineStr"/>
    </row>
    <row r="19" ht="30" customHeight="1">
      <c r="B19" s="16" t="inlineStr">
        <is>
          <t>PH-012</t>
        </is>
      </c>
      <c r="C19" s="10" t="inlineStr"/>
      <c r="D19" s="10" t="inlineStr"/>
      <c r="E19" s="10" t="inlineStr"/>
      <c r="F19" s="10" t="inlineStr"/>
      <c r="G19" s="10" t="inlineStr"/>
      <c r="H19" s="17">
        <f>IF(E19="","",G19/E19)</f>
        <v/>
      </c>
      <c r="I19" s="10" t="inlineStr"/>
      <c r="J19" s="10" t="inlineStr"/>
      <c r="K19" s="10" t="inlineStr"/>
    </row>
  </sheetData>
  <mergeCells count="3">
    <mergeCell ref="B3:J3"/>
    <mergeCell ref="B5:J5"/>
    <mergeCell ref="B2:J2"/>
  </mergeCells>
  <dataValidations count="2">
    <dataValidation sqref="D8:D19" showDropDown="0" showInputMessage="0" showErrorMessage="0" allowBlank="1" errorTitle="Valor inválido" error="Escolha uma das opções da lista." type="list">
      <formula1>"Fatura pendente de fornecedor,Alteração de dados bancários (CEO fraud),Renovação de palavra-passe,Entrega de encomenda,Documento partilhado,Aviso de segurança falso,Outro"</formula1>
    </dataValidation>
    <dataValidation sqref="J8:J19" showDropDown="0" showInputMessage="0" showErrorMessage="0" allowBlank="1" errorTitle="Valor inválido" error="Escolha uma das opções da lista." type="list">
      <formula1>"🟢 Boa,🟠 Moderada,🔴 Elevada"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 ht="26" customHeight="1">
      <c r="B2" s="1" t="inlineStr">
        <is>
          <t>EVOLUÇÃO DA TAXA DE CLIQUES</t>
        </is>
      </c>
    </row>
    <row r="4" ht="20" customHeight="1">
      <c r="B4" s="2" t="inlineStr">
        <is>
          <t>📊  RESUMO</t>
        </is>
      </c>
    </row>
    <row r="5" ht="20" customHeight="1">
      <c r="B5" s="18" t="inlineStr">
        <is>
          <t>Exercícios realizados</t>
        </is>
      </c>
      <c r="C5" s="19">
        <f>COUNTA('🎣 REGISTO DE EXERCÍCIOS'!C8:C19)</f>
        <v/>
      </c>
    </row>
    <row r="6" ht="20" customHeight="1">
      <c r="B6" s="18" t="inlineStr">
        <is>
          <t>Taxa de cliques média</t>
        </is>
      </c>
      <c r="C6" s="20">
        <f>IFERROR(AVERAGE('🎣 REGISTO DE EXERCÍCIOS'!H8:H19),"—")</f>
        <v/>
      </c>
    </row>
    <row r="7" ht="20" customHeight="1">
      <c r="B7" s="18" t="inlineStr">
        <is>
          <t>Melhor resultado (mais baixo)</t>
        </is>
      </c>
      <c r="C7" s="21">
        <f>IFERROR(MIN('🎣 REGISTO DE EXERCÍCIOS'!H8:H19),"—")</f>
        <v/>
      </c>
    </row>
    <row r="8" ht="20" customHeight="1">
      <c r="B8" s="18" t="inlineStr">
        <is>
          <t>Pior resultado (mais alto)</t>
        </is>
      </c>
      <c r="C8" s="22">
        <f>IFERROR(MAX('🎣 REGISTO DE EXERCÍCIOS'!H8:H19),"—")</f>
        <v/>
      </c>
    </row>
    <row r="9" ht="20" customHeight="1">
      <c r="B9" s="18" t="inlineStr">
        <is>
          <t>Total de credenciais introduzidas</t>
        </is>
      </c>
      <c r="C9" s="23">
        <f>SUM('🎣 REGISTO DE EXERCÍCIOS'!I8:I19)</f>
        <v/>
      </c>
    </row>
    <row r="11" ht="20" customHeight="1">
      <c r="B11" s="2" t="inlineStr">
        <is>
          <t>🎯  META DE REFERÊNCIA</t>
        </is>
      </c>
    </row>
    <row r="12" ht="20" customHeight="1">
      <c r="B12" s="18" t="inlineStr">
        <is>
          <t>Meta NIS2 recomendada</t>
        </is>
      </c>
      <c r="C12" s="24" t="n">
        <v>0.05</v>
      </c>
    </row>
    <row r="13" ht="20" customHeight="1">
      <c r="B13" s="18" t="inlineStr">
        <is>
          <t>Exercícios dentro da meta (&lt; 5%)</t>
        </is>
      </c>
      <c r="C13" s="25">
        <f>COUNTIF('🎣 REGISTO DE EXERCÍCIOS'!H8:H19,"&lt;0.05")</f>
        <v/>
      </c>
    </row>
    <row r="15" ht="39" customHeight="1">
      <c r="B15" s="26" t="inlineStr">
        <is>
          <t>🎯  COMO INTERPRETAR:  abaixo de 5% — bom nível, manter periodicidade trimestral.  Entre 5% e 15% — aceitável, reforçar formação.  Acima de 15% — risco elevado, formação urgente e repetição em 30 dias.</t>
        </is>
      </c>
    </row>
    <row r="17" ht="52" customHeight="1">
      <c r="B17" s="26" t="inlineStr">
        <is>
          <t>📈  O que o auditor valoriza não é o valor absoluto — é a TENDÊNCIA. Uma empresa que desceu de 25% para 6% em três exercícios demonstra melhoria contínua, que é o que a NIS2 exige. Mantenha o histórico completo, incluindo os maus resultados.</t>
        </is>
      </c>
    </row>
    <row r="19" ht="30" customHeight="1">
      <c r="B19" s="26" t="inlineStr">
        <is>
          <t>🔗  Leve a taxa de cliques para o Dashboard de KPIs de Governança e apresente-a na reunião trimestral da gestão.</t>
        </is>
      </c>
    </row>
  </sheetData>
  <mergeCells count="6">
    <mergeCell ref="B2:C2"/>
    <mergeCell ref="B15:C15"/>
    <mergeCell ref="B11:C11"/>
    <mergeCell ref="B19:C19"/>
    <mergeCell ref="B17:C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2026-08-21T20:28:40Z</dcterms:created>
  <dcterms:modified xmlns:dcterms="http://purl.org/dc/terms/" xmlns:xsi="http://www.w3.org/2001/XMLSchema-instance" xsi:type="dcterms:W3CDTF">2026-08-21T20:28:40Z</dcterms:modified>
</cp:coreProperties>
</file>