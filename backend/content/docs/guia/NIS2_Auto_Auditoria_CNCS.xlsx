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ÇÕES" sheetId="1" state="visible" r:id="rId1"/>
    <sheet xmlns:r="http://schemas.openxmlformats.org/officeDocument/2006/relationships" name="✅ CHECKLIST" sheetId="2" state="visible" r:id="rId2"/>
    <sheet xmlns:r="http://schemas.openxmlformats.org/officeDocument/2006/relationships" name="📊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3864"/>
      <sz val="10"/>
    </font>
    <font>
      <sz val="9"/>
    </font>
    <font>
      <color rgb="007B5000"/>
      <sz val="9"/>
    </font>
    <font>
      <b val="1"/>
      <color rgb="00FFFFFF"/>
      <sz val="9"/>
    </font>
    <font>
      <b val="1"/>
      <sz val="9"/>
    </font>
    <font>
      <sz val="10"/>
    </font>
    <font>
      <b val="1"/>
      <color rgb="001F3864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3CD"/>
      </patternFill>
    </fill>
    <fill>
      <patternFill patternType="solid">
        <fgColor rgb="00F4F4F4"/>
      </patternFill>
    </fill>
    <fill>
      <patternFill patternType="solid">
        <fgColor rgb="00FDECEA"/>
      </patternFill>
    </fill>
    <fill>
      <patternFill patternType="solid">
        <fgColor rgb="00FCE4D6"/>
      </patternFill>
    </fill>
    <fill>
      <patternFill patternType="solid">
        <fgColor rgb="00E2F0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0" borderId="0" applyAlignment="1" pivotButton="0" quotePrefix="0" xfId="0">
      <alignment vertical="top" wrapText="1" indent="1"/>
    </xf>
    <xf numFmtId="0" fontId="2" fillId="4" borderId="0" applyAlignment="1" pivotButton="0" quotePrefix="0" xfId="0">
      <alignment vertical="center" indent="1"/>
    </xf>
    <xf numFmtId="0" fontId="4" fillId="4" borderId="0" applyAlignment="1" pivotButton="0" quotePrefix="0" xfId="0">
      <alignment vertical="center" wrapText="1" indent="1"/>
    </xf>
    <xf numFmtId="0" fontId="5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center" indent="1"/>
    </xf>
    <xf numFmtId="0" fontId="8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4" borderId="0" applyAlignment="1" pivotButton="0" quotePrefix="0" xfId="0">
      <alignment vertical="top" wrapText="1" indent="1"/>
    </xf>
    <xf numFmtId="0" fontId="7" fillId="0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workbookViewId="0">
      <selection activeCell="A1" sqref="A1"/>
    </sheetView>
  </sheetViews>
  <sheetFormatPr baseColWidth="8" defaultRowHeight="15"/>
  <cols>
    <col width="3" customWidth="1" min="1" max="1"/>
    <col width="105" customWidth="1" min="2" max="2"/>
  </cols>
  <sheetData>
    <row r="2" ht="26" customHeight="1">
      <c r="B2" s="1" t="inlineStr">
        <is>
          <t>AUTO-AUDITORIA NIS2 — SIMULAÇÃO DE VISTORIA DO CNCS  ·  Arts. 31.º a 35.º do DL 125/2025</t>
        </is>
      </c>
    </row>
    <row r="4" ht="20" customHeight="1">
      <c r="B4" s="2" t="inlineStr">
        <is>
          <t>📌  PARA QUE SERVE</t>
        </is>
      </c>
    </row>
    <row r="5" ht="28" customHeight="1">
      <c r="B5" s="3" t="inlineStr">
        <is>
          <t>Simular uma vistoria do CNCS antes de ela acontecer, para identificar e corrigir lacunas com antecedência.</t>
        </is>
      </c>
    </row>
    <row r="6" ht="28" customHeight="1">
      <c r="B6" s="3" t="inlineStr">
        <is>
          <t>Recomenda-se realizar 2 a 3 meses antes de qualquer auditoria — e, em qualquer caso, uma vez por ano.</t>
        </is>
      </c>
    </row>
    <row r="8" ht="20" customHeight="1">
      <c r="B8" s="2" t="inlineStr">
        <is>
          <t>✅  COMO PREENCHER</t>
        </is>
      </c>
    </row>
    <row r="9" ht="28" customHeight="1">
      <c r="B9" s="3" t="inlineStr">
        <is>
          <t>1.  Assuma o papel de auditor do CNCS. Seja severo: o objetivo é encontrar as lacunas, não passar no teste.</t>
        </is>
      </c>
    </row>
    <row r="10" ht="16" customHeight="1">
      <c r="B10" s="3" t="inlineStr">
        <is>
          <t>2.  Marque "Sim — com evidência" APENAS quando existe evidência real, datada e verificável.</t>
        </is>
      </c>
    </row>
    <row r="11" ht="28" customHeight="1">
      <c r="B11" s="3" t="inlineStr">
        <is>
          <t>3.  Sem evidência documentada = "Não". Uma prática que existe mas não está documentada não conta numa auditoria.</t>
        </is>
      </c>
    </row>
    <row r="12" ht="28" customHeight="1">
      <c r="B12" s="3" t="inlineStr">
        <is>
          <t>4.  Use "N/A" apenas quando o requisito não se aplica à sua organização (justifique na coluna de notas).</t>
        </is>
      </c>
    </row>
    <row r="13" ht="16" customHeight="1">
      <c r="B13" s="3" t="inlineStr">
        <is>
          <t>5.  Para cada lacuna crítica, abra um plano de ação corretiva (CAPA) antes da visita real.</t>
        </is>
      </c>
    </row>
    <row r="15" ht="20" customHeight="1">
      <c r="B15" s="2" t="inlineStr">
        <is>
          <t>📊  SCORE</t>
        </is>
      </c>
    </row>
    <row r="16" ht="28" customHeight="1">
      <c r="B16" s="3" t="inlineStr">
        <is>
          <t>O score é calculado automaticamente na aba DASHBOARD: itens conformes ÷ itens aplicáveis (excluindo os N/A).</t>
        </is>
      </c>
    </row>
    <row r="17" ht="28" customHeight="1">
      <c r="B17" s="3" t="inlineStr">
        <is>
          <t>Referência: abaixo de 80% de conformidade, a organização tem lacunas relevantes a corrigir antes de uma auditoria.</t>
        </is>
      </c>
    </row>
    <row r="19" ht="20" customHeight="1">
      <c r="B19" s="2" t="inlineStr">
        <is>
          <t>📅  PERIODICIDADE</t>
        </is>
      </c>
    </row>
    <row r="20" ht="16" customHeight="1">
      <c r="B20" s="3" t="inlineStr">
        <is>
          <t>Anual, e sempre 2 a 3 meses antes de uma auditoria anunciada pelo CNCS.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4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" customWidth="1" min="1" max="1"/>
    <col width="5" customWidth="1" min="2" max="2"/>
    <col width="26" customWidth="1" min="3" max="3"/>
    <col width="12" customWidth="1" min="4" max="4"/>
    <col width="52" customWidth="1" min="5" max="5"/>
    <col width="46" customWidth="1" min="6" max="6"/>
    <col width="22" customWidth="1" min="7" max="7"/>
    <col width="32" customWidth="1" min="8" max="8"/>
    <col width="3" customWidth="1" min="9" max="9"/>
  </cols>
  <sheetData>
    <row r="2" ht="26" customHeight="1">
      <c r="B2" s="1" t="inlineStr">
        <is>
          <t>CHECKLIST DE AUTO-AUDITORIA NIS2</t>
        </is>
      </c>
    </row>
    <row r="3" ht="20" customHeight="1">
      <c r="B3" s="4" t="inlineStr">
        <is>
          <t>Empresa: _______________________     Data: ____/____/______     Realizada por (CISO): _______________________</t>
        </is>
      </c>
    </row>
    <row r="5" ht="26" customHeight="1">
      <c r="B5" s="5" t="inlineStr">
        <is>
          <t>⚠️  Marque "Sim — com evidência" apenas quando existe evidência real, datada e verificável. Sem evidência documentada = "Não".</t>
        </is>
      </c>
    </row>
    <row r="7" ht="30" customHeight="1">
      <c r="B7" s="6" t="inlineStr">
        <is>
          <t>#</t>
        </is>
      </c>
      <c r="C7" s="6" t="inlineStr">
        <is>
          <t>Secção</t>
        </is>
      </c>
      <c r="D7" s="6" t="inlineStr">
        <is>
          <t>Criticidade</t>
        </is>
      </c>
      <c r="E7" s="6" t="inlineStr">
        <is>
          <t>Requisito</t>
        </is>
      </c>
      <c r="F7" s="6" t="inlineStr">
        <is>
          <t>Evidência exigida</t>
        </is>
      </c>
      <c r="G7" s="6" t="inlineStr">
        <is>
          <t>Estado</t>
        </is>
      </c>
      <c r="H7" s="6" t="inlineStr">
        <is>
          <t>Notas / Localização da evidência</t>
        </is>
      </c>
    </row>
    <row r="8" ht="30" customHeight="1">
      <c r="B8" s="7" t="n">
        <v>1</v>
      </c>
      <c r="C8" s="8" t="inlineStr">
        <is>
          <t>1. GOVERNANÇA E REGISTO</t>
        </is>
      </c>
      <c r="D8" s="9" t="inlineStr">
        <is>
          <t>CRÍTICO</t>
        </is>
      </c>
      <c r="E8" s="10" t="inlineStr">
        <is>
          <t>Registo no CNCS efetuado e dados atualizados (NIF, CISO, IPs, setores)</t>
        </is>
      </c>
      <c r="F8" s="10" t="inlineStr">
        <is>
          <t>Confirmação por email do CNCS + número de referência</t>
        </is>
      </c>
      <c r="G8" s="11" t="inlineStr"/>
      <c r="H8" s="11" t="inlineStr"/>
    </row>
    <row r="9" ht="30" customHeight="1">
      <c r="B9" s="7" t="n">
        <v>2</v>
      </c>
      <c r="C9" s="8" t="inlineStr">
        <is>
          <t>1. GOVERNANÇA E REGISTO</t>
        </is>
      </c>
      <c r="D9" s="9" t="inlineStr">
        <is>
          <t>CRÍTICO</t>
        </is>
      </c>
      <c r="E9" s="10" t="inlineStr">
        <is>
          <t>CISO nomeado formalmente, com carta assinada pelo CEO</t>
        </is>
      </c>
      <c r="F9" s="10" t="inlineStr">
        <is>
          <t>Carta de nomeação com data e assinatura do CEO</t>
        </is>
      </c>
      <c r="G9" s="11" t="inlineStr"/>
      <c r="H9" s="11" t="inlineStr"/>
    </row>
    <row r="10" ht="30" customHeight="1">
      <c r="B10" s="7" t="n">
        <v>3</v>
      </c>
      <c r="C10" s="8" t="inlineStr">
        <is>
          <t>1. GOVERNANÇA E REGISTO</t>
        </is>
      </c>
      <c r="D10" s="9" t="inlineStr">
        <is>
          <t>CRÍTICO</t>
        </is>
      </c>
      <c r="E10" s="10" t="inlineStr">
        <is>
          <t>Gestão de topo recebeu formação em cibersegurança este ano (Art. 20.º NIS2)</t>
        </is>
      </c>
      <c r="F10" s="10" t="inlineStr">
        <is>
          <t>Certificados ou lista de presenças dos gestores</t>
        </is>
      </c>
      <c r="G10" s="11" t="inlineStr"/>
      <c r="H10" s="11" t="inlineStr"/>
    </row>
    <row r="11" ht="30" customHeight="1">
      <c r="B11" s="7" t="n">
        <v>4</v>
      </c>
      <c r="C11" s="8" t="inlineStr">
        <is>
          <t>1. GOVERNANÇA E REGISTO</t>
        </is>
      </c>
      <c r="D11" s="12" t="inlineStr">
        <is>
          <t>ALTO</t>
        </is>
      </c>
      <c r="E11" s="10" t="inlineStr">
        <is>
          <t>Reunião trimestral de cibersegurança com a gestão de topo realizada</t>
        </is>
      </c>
      <c r="F11" s="10" t="inlineStr">
        <is>
          <t>Atas das últimas 4 reuniões, com KPIs apresentados</t>
        </is>
      </c>
      <c r="G11" s="11" t="inlineStr"/>
      <c r="H11" s="11" t="inlineStr"/>
    </row>
    <row r="12" ht="30" customHeight="1">
      <c r="B12" s="7" t="n">
        <v>5</v>
      </c>
      <c r="C12" s="8" t="inlineStr">
        <is>
          <t>1. GOVERNANÇA E REGISTO</t>
        </is>
      </c>
      <c r="D12" s="12" t="inlineStr">
        <is>
          <t>ALTO</t>
        </is>
      </c>
      <c r="E12" s="10" t="inlineStr">
        <is>
          <t>Orçamento de cibersegurança aprovado formalmente para o ano corrente</t>
        </is>
      </c>
      <c r="F12" s="10" t="inlineStr">
        <is>
          <t>Documento orçamental aprovado, com rubrica de cibersegurança</t>
        </is>
      </c>
      <c r="G12" s="11" t="inlineStr"/>
      <c r="H12" s="11" t="inlineStr"/>
    </row>
    <row r="13" ht="30" customHeight="1">
      <c r="B13" s="7" t="n">
        <v>6</v>
      </c>
      <c r="C13" s="8" t="inlineStr">
        <is>
          <t>2. ANÁLISE DE RISCO E POLÍTICAS</t>
        </is>
      </c>
      <c r="D13" s="9" t="inlineStr">
        <is>
          <t>CRÍTICO</t>
        </is>
      </c>
      <c r="E13" s="10" t="inlineStr">
        <is>
          <t>Análise de risco formal nos últimos 12 meses, com metodologia documentada</t>
        </is>
      </c>
      <c r="F13" s="10" t="inlineStr">
        <is>
          <t>Registo de Riscos com data, metodologia e aprovação da gestão</t>
        </is>
      </c>
      <c r="G13" s="11" t="inlineStr"/>
      <c r="H13" s="11" t="inlineStr"/>
    </row>
    <row r="14" ht="30" customHeight="1">
      <c r="B14" s="7" t="n">
        <v>7</v>
      </c>
      <c r="C14" s="8" t="inlineStr">
        <is>
          <t>2. ANÁLISE DE RISCO E POLÍTICAS</t>
        </is>
      </c>
      <c r="D14" s="9" t="inlineStr">
        <is>
          <t>CRÍTICO</t>
        </is>
      </c>
      <c r="E14" s="10" t="inlineStr">
        <is>
          <t>PSI aprovada, assinada e distribuída aos colaboradores</t>
        </is>
      </c>
      <c r="F14" s="10" t="inlineStr">
        <is>
          <t>PSI com data ≤ 12 meses, assinatura do CEO e confirmações de leitura</t>
        </is>
      </c>
      <c r="G14" s="11" t="inlineStr"/>
      <c r="H14" s="11" t="inlineStr"/>
    </row>
    <row r="15" ht="30" customHeight="1">
      <c r="B15" s="7" t="n">
        <v>8</v>
      </c>
      <c r="C15" s="8" t="inlineStr">
        <is>
          <t>2. ANÁLISE DE RISCO E POLÍTICAS</t>
        </is>
      </c>
      <c r="D15" s="12" t="inlineStr">
        <is>
          <t>ALTO</t>
        </is>
      </c>
      <c r="E15" s="10" t="inlineStr">
        <is>
          <t>Inventário de ativos críticos atualizado (hardware, software, cloud, dados)</t>
        </is>
      </c>
      <c r="F15" s="10" t="inlineStr">
        <is>
          <t>Inventário com data recente e responsável por ativo</t>
        </is>
      </c>
      <c r="G15" s="11" t="inlineStr"/>
      <c r="H15" s="11" t="inlineStr"/>
    </row>
    <row r="16" ht="30" customHeight="1">
      <c r="B16" s="7" t="n">
        <v>9</v>
      </c>
      <c r="C16" s="8" t="inlineStr">
        <is>
          <t>2. ANÁLISE DE RISCO E POLÍTICAS</t>
        </is>
      </c>
      <c r="D16" s="12" t="inlineStr">
        <is>
          <t>ALTO</t>
        </is>
      </c>
      <c r="E16" s="10" t="inlineStr">
        <is>
          <t>Todos os colaboradores assinaram a Checklist de Higiene Cibernética este ano</t>
        </is>
      </c>
      <c r="F16" s="10" t="inlineStr">
        <is>
          <t>Checklists assinadas por 100% dos colaboradores</t>
        </is>
      </c>
      <c r="G16" s="11" t="inlineStr"/>
      <c r="H16" s="11" t="inlineStr"/>
    </row>
    <row r="17" ht="30" customHeight="1">
      <c r="B17" s="7" t="n">
        <v>10</v>
      </c>
      <c r="C17" s="8" t="inlineStr">
        <is>
          <t>3. MEDIDAS TÉCNICAS</t>
        </is>
      </c>
      <c r="D17" s="9" t="inlineStr">
        <is>
          <t>CRÍTICO</t>
        </is>
      </c>
      <c r="E17" s="10" t="inlineStr">
        <is>
          <t>MFA ativo em 100% das contas e sistemas críticos (email, VPN, ERP, cloud, admin)</t>
        </is>
      </c>
      <c r="F17" s="10" t="inlineStr">
        <is>
          <t>Captura do painel M365/Entra ID com MFA a 100%, datada</t>
        </is>
      </c>
      <c r="G17" s="11" t="inlineStr"/>
      <c r="H17" s="11" t="inlineStr"/>
    </row>
    <row r="18" ht="30" customHeight="1">
      <c r="B18" s="7" t="n">
        <v>11</v>
      </c>
      <c r="C18" s="8" t="inlineStr">
        <is>
          <t>3. MEDIDAS TÉCNICAS</t>
        </is>
      </c>
      <c r="D18" s="9" t="inlineStr">
        <is>
          <t>CRÍTICO</t>
        </is>
      </c>
      <c r="E18" s="10" t="inlineStr">
        <is>
          <t>Backup 3-2-1 com imutabilidade, testado com RTO medido no último trimestre</t>
        </is>
      </c>
      <c r="F18" s="10" t="inlineStr">
        <is>
          <t>Relatório de teste de restauro com RTO medido e assinado</t>
        </is>
      </c>
      <c r="G18" s="11" t="inlineStr"/>
      <c r="H18" s="11" t="inlineStr"/>
    </row>
    <row r="19" ht="30" customHeight="1">
      <c r="B19" s="7" t="n">
        <v>12</v>
      </c>
      <c r="C19" s="8" t="inlineStr">
        <is>
          <t>3. MEDIDAS TÉCNICAS</t>
        </is>
      </c>
      <c r="D19" s="9" t="inlineStr">
        <is>
          <t>CRÍTICO</t>
        </is>
      </c>
      <c r="E19" s="10" t="inlineStr">
        <is>
          <t>Processo de patches documentado — CVSS ≥ 9 aplicados em ≤ 48h, com registo</t>
        </is>
      </c>
      <c r="F19" s="10" t="inlineStr">
        <is>
          <t>Relatório trimestral de patches: críticos com data de aplicação</t>
        </is>
      </c>
      <c r="G19" s="11" t="inlineStr"/>
      <c r="H19" s="11" t="inlineStr"/>
    </row>
    <row r="20" ht="30" customHeight="1">
      <c r="B20" s="7" t="n">
        <v>13</v>
      </c>
      <c r="C20" s="8" t="inlineStr">
        <is>
          <t>3. MEDIDAS TÉCNICAS</t>
        </is>
      </c>
      <c r="D20" s="12" t="inlineStr">
        <is>
          <t>ALTO</t>
        </is>
      </c>
      <c r="E20" s="10" t="inlineStr">
        <is>
          <t>BitLocker/FileVault ativo em todos os portáteis e dispositivos móveis</t>
        </is>
      </c>
      <c r="F20" s="10" t="inlineStr">
        <is>
          <t>Relatório do Intune/MDM com % de dispositivos encriptados</t>
        </is>
      </c>
      <c r="G20" s="11" t="inlineStr"/>
      <c r="H20" s="11" t="inlineStr"/>
    </row>
    <row r="21" ht="30" customHeight="1">
      <c r="B21" s="7" t="n">
        <v>14</v>
      </c>
      <c r="C21" s="8" t="inlineStr">
        <is>
          <t>3. MEDIDAS TÉCNICAS</t>
        </is>
      </c>
      <c r="D21" s="12" t="inlineStr">
        <is>
          <t>ALTO</t>
        </is>
      </c>
      <c r="E21" s="10" t="inlineStr">
        <is>
          <t>Segmentação de rede implementada (produção / escritório / Wi-Fi visitantes / IoT)</t>
        </is>
      </c>
      <c r="F21" s="10" t="inlineStr">
        <is>
          <t>Diagrama de rede atualizado + configuração de VLAN documentada</t>
        </is>
      </c>
      <c r="G21" s="11" t="inlineStr"/>
      <c r="H21" s="11" t="inlineStr"/>
    </row>
    <row r="22" ht="30" customHeight="1">
      <c r="B22" s="7" t="n">
        <v>15</v>
      </c>
      <c r="C22" s="8" t="inlineStr">
        <is>
          <t>3. MEDIDAS TÉCNICAS</t>
        </is>
      </c>
      <c r="D22" s="12" t="inlineStr">
        <is>
          <t>ALTO</t>
        </is>
      </c>
      <c r="E22" s="10" t="inlineStr">
        <is>
          <t>Logs de segurança retidos ≥ 12 meses e monitorizados com alertas ativos</t>
        </is>
      </c>
      <c r="F22" s="10" t="inlineStr">
        <is>
          <t>Configuração de retenção + evidência de monitorização de alertas</t>
        </is>
      </c>
      <c r="G22" s="11" t="inlineStr"/>
      <c r="H22" s="11" t="inlineStr"/>
    </row>
    <row r="23" ht="30" customHeight="1">
      <c r="B23" s="7" t="n">
        <v>16</v>
      </c>
      <c r="C23" s="8" t="inlineStr">
        <is>
          <t>3. MEDIDAS TÉCNICAS</t>
        </is>
      </c>
      <c r="D23" s="12" t="inlineStr">
        <is>
          <t>ALTO</t>
        </is>
      </c>
      <c r="E23" s="10" t="inlineStr">
        <is>
          <t>Scan de vulnerabilidades realizado no último trimestre (externo e interno)</t>
        </is>
      </c>
      <c r="F23" s="10" t="inlineStr">
        <is>
          <t>Relatório de scan com vulnerabilidades e estado de remediação</t>
        </is>
      </c>
      <c r="G23" s="11" t="inlineStr"/>
      <c r="H23" s="11" t="inlineStr"/>
    </row>
    <row r="24" ht="30" customHeight="1">
      <c r="B24" s="7" t="n">
        <v>17</v>
      </c>
      <c r="C24" s="8" t="inlineStr">
        <is>
          <t>3. MEDIDAS TÉCNICAS</t>
        </is>
      </c>
      <c r="D24" s="13" t="inlineStr">
        <is>
          <t>MÉDIO</t>
        </is>
      </c>
      <c r="E24" s="10" t="inlineStr">
        <is>
          <t>Sistemas em fim de vida (EOL) substituídos ou isolados sem acesso à internet</t>
        </is>
      </c>
      <c r="F24" s="10" t="inlineStr">
        <is>
          <t>Inventário de EOL + prova de isolamento ou plano de substituição</t>
        </is>
      </c>
      <c r="G24" s="11" t="inlineStr"/>
      <c r="H24" s="11" t="inlineStr"/>
    </row>
    <row r="25" ht="30" customHeight="1">
      <c r="B25" s="7" t="n">
        <v>18</v>
      </c>
      <c r="C25" s="8" t="inlineStr">
        <is>
          <t>4. CADEIA DE ABASTECIMENTO</t>
        </is>
      </c>
      <c r="D25" s="12" t="inlineStr">
        <is>
          <t>ALTO</t>
        </is>
      </c>
      <c r="E25" s="10" t="inlineStr">
        <is>
          <t>Inventário de fornecedores (TPRM) atualizado, com score de risco</t>
        </is>
      </c>
      <c r="F25" s="10" t="inlineStr">
        <is>
          <t>Inventário TPRM com data recente e scores calculados</t>
        </is>
      </c>
      <c r="G25" s="11" t="inlineStr"/>
      <c r="H25" s="11" t="inlineStr"/>
    </row>
    <row r="26" ht="30" customHeight="1">
      <c r="B26" s="7" t="n">
        <v>19</v>
      </c>
      <c r="C26" s="8" t="inlineStr">
        <is>
          <t>4. CADEIA DE ABASTECIMENTO</t>
        </is>
      </c>
      <c r="D26" s="12" t="inlineStr">
        <is>
          <t>ALTO</t>
        </is>
      </c>
      <c r="E26" s="10" t="inlineStr">
        <is>
          <t>Questionários de due diligence respondidos por todos os fornecedores críticos</t>
        </is>
      </c>
      <c r="F26" s="10" t="inlineStr">
        <is>
          <t>Questionários respondidos e assinados pelos fornecedores, datados</t>
        </is>
      </c>
      <c r="G26" s="11" t="inlineStr"/>
      <c r="H26" s="11" t="inlineStr"/>
    </row>
    <row r="27" ht="30" customHeight="1">
      <c r="B27" s="7" t="n">
        <v>20</v>
      </c>
      <c r="C27" s="8" t="inlineStr">
        <is>
          <t>4. CADEIA DE ABASTECIMENTO</t>
        </is>
      </c>
      <c r="D27" s="12" t="inlineStr">
        <is>
          <t>ALTO</t>
        </is>
      </c>
      <c r="E27" s="10" t="inlineStr">
        <is>
          <t>Contratos com fornecedores críticos incluem cláusulas NIS2 (notificação 24h, auditoria)</t>
        </is>
      </c>
      <c r="F27" s="10" t="inlineStr">
        <is>
          <t>Contratos ou adendas assinadas com as cláusulas visíveis</t>
        </is>
      </c>
      <c r="G27" s="11" t="inlineStr"/>
      <c r="H27" s="11" t="inlineStr"/>
    </row>
    <row r="28" ht="30" customHeight="1">
      <c r="B28" s="7" t="n">
        <v>21</v>
      </c>
      <c r="C28" s="8" t="inlineStr">
        <is>
          <t>4. CADEIA DE ABASTECIMENTO</t>
        </is>
      </c>
      <c r="D28" s="13" t="inlineStr">
        <is>
          <t>MÉDIO</t>
        </is>
      </c>
      <c r="E28" s="10" t="inlineStr">
        <is>
          <t>Plano de saída (exit strategy) documentado para fornecedores críticos</t>
        </is>
      </c>
      <c r="F28" s="10" t="inlineStr">
        <is>
          <t>Documento com alternativas, portabilidade de dados e prazo de migração</t>
        </is>
      </c>
      <c r="G28" s="11" t="inlineStr"/>
      <c r="H28" s="11" t="inlineStr"/>
    </row>
    <row r="29" ht="30" customHeight="1">
      <c r="B29" s="7" t="n">
        <v>22</v>
      </c>
      <c r="C29" s="8" t="inlineStr">
        <is>
          <t>5. GESTÃO DE INCIDENTES</t>
        </is>
      </c>
      <c r="D29" s="9" t="inlineStr">
        <is>
          <t>CRÍTICO</t>
        </is>
      </c>
      <c r="E29" s="10" t="inlineStr">
        <is>
          <t>IRP documentado e testado com tabletop nos últimos 6 meses</t>
        </is>
      </c>
      <c r="F29" s="10" t="inlineStr">
        <is>
          <t>IRP atualizado + relatório de tabletop com data ≤ 6 meses</t>
        </is>
      </c>
      <c r="G29" s="11" t="inlineStr"/>
      <c r="H29" s="11" t="inlineStr"/>
    </row>
    <row r="30" ht="30" customHeight="1">
      <c r="B30" s="7" t="n">
        <v>23</v>
      </c>
      <c r="C30" s="8" t="inlineStr">
        <is>
          <t>5. GESTÃO DE INCIDENTES</t>
        </is>
      </c>
      <c r="D30" s="9" t="inlineStr">
        <is>
          <t>CRÍTICO</t>
        </is>
      </c>
      <c r="E30" s="10" t="inlineStr">
        <is>
          <t>Log de incidentes mantido com TODOS os eventos, incluindo os não reportáveis</t>
        </is>
      </c>
      <c r="F30" s="10" t="inlineStr">
        <is>
          <t>Log com entradas do ano corrente, incluindo quase-incidentes</t>
        </is>
      </c>
      <c r="G30" s="11" t="inlineStr"/>
      <c r="H30" s="11" t="inlineStr"/>
    </row>
    <row r="31" ht="30" customHeight="1">
      <c r="B31" s="7" t="n">
        <v>24</v>
      </c>
      <c r="C31" s="8" t="inlineStr">
        <is>
          <t>5. GESTÃO DE INCIDENTES</t>
        </is>
      </c>
      <c r="D31" s="9" t="inlineStr">
        <is>
          <t>CRÍTICO</t>
        </is>
      </c>
      <c r="E31" s="10" t="inlineStr">
        <is>
          <t>Equipa conhece os prazos NIS2: 24h alerta, 72h notificação, 1 mês relatório final</t>
        </is>
      </c>
      <c r="F31" s="10" t="inlineStr">
        <is>
          <t>Evidência de formação sobre os prazos (formação anual ou tabletop)</t>
        </is>
      </c>
      <c r="G31" s="11" t="inlineStr"/>
      <c r="H31" s="11" t="inlineStr"/>
    </row>
    <row r="32" ht="30" customHeight="1">
      <c r="B32" s="7" t="n">
        <v>25</v>
      </c>
      <c r="C32" s="8" t="inlineStr">
        <is>
          <t>5. GESTÃO DE INCIDENTES</t>
        </is>
      </c>
      <c r="D32" s="12" t="inlineStr">
        <is>
          <t>ALTO</t>
        </is>
      </c>
      <c r="E32" s="10" t="inlineStr">
        <is>
          <t>Canais de comunicação alternativos ativos e testados</t>
        </is>
      </c>
      <c r="F32" s="10" t="inlineStr">
        <is>
          <t>Canal de emergência criado, com todos os membros da equipa ativos</t>
        </is>
      </c>
      <c r="G32" s="11" t="inlineStr"/>
      <c r="H32" s="11" t="inlineStr"/>
    </row>
    <row r="33" ht="30" customHeight="1">
      <c r="B33" s="7" t="n">
        <v>26</v>
      </c>
      <c r="C33" s="8" t="inlineStr">
        <is>
          <t>5. GESTÃO DE INCIDENTES</t>
        </is>
      </c>
      <c r="D33" s="13" t="inlineStr">
        <is>
          <t>MÉDIO</t>
        </is>
      </c>
      <c r="E33" s="10" t="inlineStr">
        <is>
          <t>Cartão de emergência afixado na sala de TI e na sala de crise</t>
        </is>
      </c>
      <c r="F33" s="10" t="inlineStr">
        <is>
          <t>Fotografia do cartão afixado</t>
        </is>
      </c>
      <c r="G33" s="11" t="inlineStr"/>
      <c r="H33" s="11" t="inlineStr"/>
    </row>
    <row r="34" ht="30" customHeight="1">
      <c r="B34" s="7" t="n">
        <v>27</v>
      </c>
      <c r="C34" s="8" t="inlineStr">
        <is>
          <t>6. FORMAÇÃO E SENSIBILIZAÇÃO</t>
        </is>
      </c>
      <c r="D34" s="9" t="inlineStr">
        <is>
          <t>CRÍTICO</t>
        </is>
      </c>
      <c r="E34" s="10" t="inlineStr">
        <is>
          <t>Formação anual realizada para 100% dos colaboradores este ano</t>
        </is>
      </c>
      <c r="F34" s="10" t="inlineStr">
        <is>
          <t>Lista de presenças assinada por todos + materiais usados</t>
        </is>
      </c>
      <c r="G34" s="11" t="inlineStr"/>
      <c r="H34" s="11" t="inlineStr"/>
    </row>
    <row r="35" ht="30" customHeight="1">
      <c r="B35" s="7" t="n">
        <v>28</v>
      </c>
      <c r="C35" s="8" t="inlineStr">
        <is>
          <t>6. FORMAÇÃO E SENSIBILIZAÇÃO</t>
        </is>
      </c>
      <c r="D35" s="12" t="inlineStr">
        <is>
          <t>ALTO</t>
        </is>
      </c>
      <c r="E35" s="10" t="inlineStr">
        <is>
          <t>Simulação de phishing trimestral realizada, com taxa de cliques registada</t>
        </is>
      </c>
      <c r="F35" s="10" t="inlineStr">
        <is>
          <t>Relatório trimestral com taxa de cliques. Meta: &lt; 5%</t>
        </is>
      </c>
      <c r="G35" s="11" t="inlineStr"/>
      <c r="H35" s="11" t="inlineStr"/>
    </row>
    <row r="36" ht="30" customHeight="1">
      <c r="B36" s="7" t="n">
        <v>29</v>
      </c>
      <c r="C36" s="8" t="inlineStr">
        <is>
          <t>6. FORMAÇÃO E SENSIBILIZAÇÃO</t>
        </is>
      </c>
      <c r="D36" s="12" t="inlineStr">
        <is>
          <t>ALTO</t>
        </is>
      </c>
      <c r="E36" s="10" t="inlineStr">
        <is>
          <t>Novos colaboradores recebem formação de cibersegurança na integração</t>
        </is>
      </c>
      <c r="F36" s="10" t="inlineStr">
        <is>
          <t>Registo de formação de integração + checklist de higiene assinada</t>
        </is>
      </c>
      <c r="G36" s="11" t="inlineStr"/>
      <c r="H36" s="11" t="inlineStr"/>
    </row>
    <row r="37" ht="30" customHeight="1">
      <c r="B37" s="7" t="n">
        <v>30</v>
      </c>
      <c r="C37" s="8" t="inlineStr">
        <is>
          <t>7. DOSSIER DE CONFORMIDADE</t>
        </is>
      </c>
      <c r="D37" s="9" t="inlineStr">
        <is>
          <t>CRÍTICO</t>
        </is>
      </c>
      <c r="E37" s="10" t="inlineStr">
        <is>
          <t>Dossier NIS2 organizado, com os 28 documentos do Índice Mestre catalogados</t>
        </is>
      </c>
      <c r="F37" s="10" t="inlineStr">
        <is>
          <t>Índice Mestre atualizado, com a localização de cada documento</t>
        </is>
      </c>
      <c r="G37" s="11" t="inlineStr"/>
      <c r="H37" s="11" t="inlineStr"/>
    </row>
    <row r="38" ht="30" customHeight="1">
      <c r="B38" s="7" t="n">
        <v>31</v>
      </c>
      <c r="C38" s="8" t="inlineStr">
        <is>
          <t>7. DOSSIER DE CONFORMIDADE</t>
        </is>
      </c>
      <c r="D38" s="9" t="inlineStr">
        <is>
          <t>CRÍTICO</t>
        </is>
      </c>
      <c r="E38" s="10" t="inlineStr">
        <is>
          <t>Todos os documentos críticos com estado válido no Índice Mestre</t>
        </is>
      </c>
      <c r="F38" s="10" t="inlineStr">
        <is>
          <t>Score de conformidade documental ≥ 80%</t>
        </is>
      </c>
      <c r="G38" s="11" t="inlineStr"/>
      <c r="H38" s="11" t="inlineStr"/>
    </row>
    <row r="39" ht="30" customHeight="1">
      <c r="B39" s="7" t="n">
        <v>32</v>
      </c>
      <c r="C39" s="8" t="inlineStr">
        <is>
          <t>7. DOSSIER DE CONFORMIDADE</t>
        </is>
      </c>
      <c r="D39" s="12" t="inlineStr">
        <is>
          <t>ALTO</t>
        </is>
      </c>
      <c r="E39" s="10" t="inlineStr">
        <is>
          <t>Calendário Anual de Conformidade atualizado para o ano corrente</t>
        </is>
      </c>
      <c r="F39" s="10" t="inlineStr">
        <is>
          <t>Calendário com as atividades do ano e estado atualizado</t>
        </is>
      </c>
      <c r="G39" s="11" t="inlineStr"/>
      <c r="H39" s="11" t="inlineStr"/>
    </row>
    <row r="40" ht="30" customHeight="1">
      <c r="B40" s="7" t="n">
        <v>33</v>
      </c>
      <c r="C40" s="8" t="inlineStr">
        <is>
          <t>7. DOSSIER DE CONFORMIDADE</t>
        </is>
      </c>
      <c r="D40" s="12" t="inlineStr">
        <is>
          <t>ALTO</t>
        </is>
      </c>
      <c r="E40" s="10" t="inlineStr">
        <is>
          <t>Relatório Anual de Cibersegurança preparado para a gestão</t>
        </is>
      </c>
      <c r="F40" s="10" t="inlineStr">
        <is>
          <t>Relatório com KPIs do ano, incidentes, conformidade e orçamento</t>
        </is>
      </c>
      <c r="G40" s="11" t="inlineStr"/>
      <c r="H40" s="11" t="inlineStr"/>
    </row>
  </sheetData>
  <mergeCells count="3">
    <mergeCell ref="B3:G3"/>
    <mergeCell ref="B2:G2"/>
    <mergeCell ref="B5:G5"/>
  </mergeCells>
  <dataValidations count="1">
    <dataValidation sqref="G8:G40" showDropDown="0" showInputMessage="0" showErrorMessage="0" allowBlank="1" errorTitle="Valor inválido" error="Escolha uma das opções da lista." type="list">
      <formula1>"✅ Sim — com evidência,⚠️ Parcial,🔴 Não,— 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21"/>
  <sheetViews>
    <sheetView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18" customWidth="1" min="3" max="3"/>
  </cols>
  <sheetData>
    <row r="2" ht="26" customHeight="1">
      <c r="B2" s="1" t="inlineStr">
        <is>
          <t>RESULTADO DA AUTO-AUDITORIA</t>
        </is>
      </c>
    </row>
    <row r="4" ht="20" customHeight="1">
      <c r="B4" s="2" t="inlineStr">
        <is>
          <t>📊  SCORE DE CONFORMIDADE</t>
        </is>
      </c>
    </row>
    <row r="5" ht="20" customHeight="1">
      <c r="B5" s="14" t="inlineStr">
        <is>
          <t>Total de itens da checklist</t>
        </is>
      </c>
      <c r="C5" s="15" t="n">
        <v>33</v>
      </c>
    </row>
    <row r="6" ht="20" customHeight="1">
      <c r="B6" s="14" t="inlineStr">
        <is>
          <t>Itens marcados N/A (não aplicáveis)</t>
        </is>
      </c>
      <c r="C6" s="16">
        <f>COUNTIF('✅ CHECKLIST'!G8:G40,"— N/A")</f>
        <v/>
      </c>
    </row>
    <row r="7" ht="20" customHeight="1">
      <c r="B7" s="14" t="inlineStr">
        <is>
          <t>Itens aplicáveis</t>
        </is>
      </c>
      <c r="C7" s="15">
        <f>C5-C6</f>
        <v/>
      </c>
    </row>
    <row r="8" ht="20" customHeight="1">
      <c r="B8" s="14" t="inlineStr">
        <is>
          <t>Conformes (com evidência)</t>
        </is>
      </c>
      <c r="C8" s="17">
        <f>COUNTIF('✅ CHECKLIST'!G8:G40,"✅ Sim — com evidência")</f>
        <v/>
      </c>
    </row>
    <row r="9" ht="20" customHeight="1">
      <c r="B9" s="14" t="inlineStr">
        <is>
          <t>Parciais</t>
        </is>
      </c>
      <c r="C9" s="18">
        <f>COUNTIF('✅ CHECKLIST'!G8:G40,"⚠️ Parcial")</f>
        <v/>
      </c>
    </row>
    <row r="10" ht="20" customHeight="1">
      <c r="B10" s="14" t="inlineStr">
        <is>
          <t>Não conformes</t>
        </is>
      </c>
      <c r="C10" s="19">
        <f>COUNTIF('✅ CHECKLIST'!G8:G40,"🔴 Não")</f>
        <v/>
      </c>
    </row>
    <row r="11" ht="20" customHeight="1">
      <c r="B11" s="14" t="inlineStr">
        <is>
          <t>SCORE DE CONFORMIDADE</t>
        </is>
      </c>
      <c r="C11" s="20">
        <f>IFERROR(C8/C7,"—")</f>
        <v/>
      </c>
    </row>
    <row r="12" ht="20" customHeight="1">
      <c r="B12" s="14" t="inlineStr">
        <is>
          <t>Por avaliar (ainda em branco)</t>
        </is>
      </c>
      <c r="C12" s="21">
        <f>COUNTBLANK('✅ CHECKLIST'!G8:G40)</f>
        <v/>
      </c>
    </row>
    <row r="14" ht="20" customHeight="1">
      <c r="B14" s="2" t="inlineStr">
        <is>
          <t>🔴  LACUNAS CRÍTICAS  (prioridade máxima)</t>
        </is>
      </c>
    </row>
    <row r="15" ht="20" customHeight="1">
      <c r="B15" s="14" t="inlineStr">
        <is>
          <t>Itens CRÍTICOS não conformes</t>
        </is>
      </c>
      <c r="C15" s="19">
        <f>COUNTIFS('✅ CHECKLIST'!D8:D40,"CRÍTICO",'✅ CHECKLIST'!G8:G40,"🔴 Não")</f>
        <v/>
      </c>
    </row>
    <row r="16" ht="20" customHeight="1">
      <c r="B16" s="14" t="inlineStr">
        <is>
          <t>Itens CRÍTICOS parciais</t>
        </is>
      </c>
      <c r="C16" s="18">
        <f>COUNTIFS('✅ CHECKLIST'!D8:D40,"CRÍTICO",'✅ CHECKLIST'!G8:G40,"⚠️ Parcial")</f>
        <v/>
      </c>
    </row>
    <row r="17" ht="20" customHeight="1">
      <c r="B17" s="14" t="inlineStr">
        <is>
          <t>Itens ALTO não conformes</t>
        </is>
      </c>
      <c r="C17" s="18">
        <f>COUNTIFS('✅ CHECKLIST'!D8:D40,"ALTO",'✅ CHECKLIST'!G8:G40,"🔴 Não")</f>
        <v/>
      </c>
    </row>
    <row r="19" ht="46" customHeight="1">
      <c r="B19" s="22" t="inlineStr">
        <is>
          <t>⚠️  Referência: abaixo de 80% de conformidade existem lacunas relevantes a corrigir antes de uma auditoria do CNCS. Para cada item crítico não conforme, abra um plano de ação corretiva (CAPA) com responsável e prazo.</t>
        </is>
      </c>
    </row>
    <row r="21" ht="24" customHeight="1">
      <c r="B21" s="23" t="inlineStr">
        <is>
          <t>Realizada por (CISO): _____________________________     Data: ____ / ____ / ________</t>
        </is>
      </c>
    </row>
  </sheetData>
  <mergeCells count="5">
    <mergeCell ref="B21:C21"/>
    <mergeCell ref="B2:C2"/>
    <mergeCell ref="B19:C19"/>
    <mergeCell ref="B14:C14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2026-08-24T14:37:48Z</dcterms:created>
  <dcterms:modified xmlns:dcterms="http://purl.org/dc/terms/" xmlns:xsi="http://www.w3.org/2001/XMLSchema-instance" xsi:type="dcterms:W3CDTF">2026-08-24T14:37:48Z</dcterms:modified>
</cp:coreProperties>
</file>