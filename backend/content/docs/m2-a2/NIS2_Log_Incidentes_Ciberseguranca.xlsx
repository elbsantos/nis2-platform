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erson.santos\Documents\Pessoal\Consultoria-NIS\NIS-Curso\Modulo 2\Aula-2\"/>
    </mc:Choice>
  </mc:AlternateContent>
  <xr:revisionPtr revIDLastSave="0" documentId="13_ncr:1_{22AF5F8A-6F49-41A4-ABDB-6D5AE4E0B09E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📋 REGISTO DE INCIDENTES" sheetId="1" r:id="rId1"/>
    <sheet name="⏱️ TIMELINE DE INCIDENTE" sheetId="2" r:id="rId2"/>
    <sheet name="📊 DASHBOAR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3" l="1"/>
  <c r="C19" i="3"/>
  <c r="C18" i="3"/>
  <c r="C17" i="3"/>
  <c r="C14" i="3"/>
  <c r="C13" i="3"/>
  <c r="C12" i="3"/>
  <c r="C11" i="3"/>
  <c r="C8" i="3"/>
  <c r="C7" i="3"/>
  <c r="C6" i="3"/>
  <c r="C5" i="3"/>
</calcChain>
</file>

<file path=xl/sharedStrings.xml><?xml version="1.0" encoding="utf-8"?>
<sst xmlns="http://schemas.openxmlformats.org/spreadsheetml/2006/main" count="213" uniqueCount="151">
  <si>
    <t>LOG DE INCIDENTES DE CIBERSEGURANÇA — NIS2  ·  Art. 23.º DL 125/2025</t>
  </si>
  <si>
    <t>Empresa: [Nome]</t>
  </si>
  <si>
    <t>Responsável: _________________   Período: _________________   Versão: ___</t>
  </si>
  <si>
    <t>⚠️  IMPORTANTE: Registar TODOS os eventos de segurança — incluindo os que NÃO foram reportáveis ao CNCS. Este log é evidência obrigatória para auditorias CNCS. Incidentes com coluna 'Reportado CNCS = SIM' devem ter os formulários de notificação arquivados em pasta separada.</t>
  </si>
  <si>
    <t>ID</t>
  </si>
  <si>
    <t>Data/Hora
Detecção</t>
  </si>
  <si>
    <t>Tipo de Incidente</t>
  </si>
  <si>
    <t>Sistemas Afectados</t>
  </si>
  <si>
    <t>Gravidade</t>
  </si>
  <si>
    <t>Significativo?
(NIS2)</t>
  </si>
  <si>
    <t>Reportado
CNCS?</t>
  </si>
  <si>
    <t>Reportado
CNPD?</t>
  </si>
  <si>
    <t>Data
Fecho</t>
  </si>
  <si>
    <t>Causa Raiz
Identificada</t>
  </si>
  <si>
    <t>Estado</t>
  </si>
  <si>
    <t>INC-001</t>
  </si>
  <si>
    <t>2025-03-15 09:23</t>
  </si>
  <si>
    <t>Phishing/BEC</t>
  </si>
  <si>
    <t>Conta email Financeiro (user: sofia@empresa.pt)</t>
  </si>
  <si>
    <t>🟠 ALTA</t>
  </si>
  <si>
    <t>SIM — Reportar CNCS</t>
  </si>
  <si>
    <t>✅ SIM (24h OK)</t>
  </si>
  <si>
    <t>— N/A</t>
  </si>
  <si>
    <t>2025-04-10</t>
  </si>
  <si>
    <t>E-mail phishing com link malicioso. Credenciais comprometidas. Sem transferência efectuada.</t>
  </si>
  <si>
    <t>✅ Encerrado</t>
  </si>
  <si>
    <t>INC-002</t>
  </si>
  <si>
    <t>2025-04-02 14:45</t>
  </si>
  <si>
    <t>Ransomware</t>
  </si>
  <si>
    <t>SRV-FILES-001 (servidor de ficheiros principal)</t>
  </si>
  <si>
    <t>🔴 CRÍTICA</t>
  </si>
  <si>
    <t>2025-04-20</t>
  </si>
  <si>
    <t>Phishing inicial → credenciais MSP comprometidas → Lockbit 3.0. Restauro via backup imutável Azure.</t>
  </si>
  <si>
    <t>📋 Relatório final pendente</t>
  </si>
  <si>
    <t>INC-003</t>
  </si>
  <si>
    <t>2025-05-10 08:00</t>
  </si>
  <si>
    <t>Acesso não autorizado</t>
  </si>
  <si>
    <t>Painel admin website (WordPress)</t>
  </si>
  <si>
    <t>🟡 MÉDIA</t>
  </si>
  <si>
    <t>NÃO — Gestão interna</t>
  </si>
  <si>
    <t>2025-05-10</t>
  </si>
  <si>
    <t>Plugin WordPress desactualizado (CVE-2024-XXXX). Acesso lido apenas — sem dados exfiltrados.</t>
  </si>
  <si>
    <t>INC-004</t>
  </si>
  <si>
    <t>2025-05-22 16:30</t>
  </si>
  <si>
    <t>Quase-incidente</t>
  </si>
  <si>
    <t>Servidor VPN (tentativa de bruteforce)</t>
  </si>
  <si>
    <t>2025-05-22</t>
  </si>
  <si>
    <t>500+ tentativas login falhadas em 2h. IP bloqueado automaticamente por firewall. MFA impediu comprometimento.</t>
  </si>
  <si>
    <t>INC-005</t>
  </si>
  <si>
    <t>2025-06-01 11:00</t>
  </si>
  <si>
    <t>Fuga de dados</t>
  </si>
  <si>
    <t>CRM Salesforce — dados clientes</t>
  </si>
  <si>
    <t>⚠️ SIM (atrasado)</t>
  </si>
  <si>
    <t>✅ SIM</t>
  </si>
  <si>
    <t>Colaborador enviou CSV com 2.300 registos para email pessoal. Investigação em curso.</t>
  </si>
  <si>
    <t>🟡 Em recuperação</t>
  </si>
  <si>
    <t>INC-006</t>
  </si>
  <si>
    <t>INC-007</t>
  </si>
  <si>
    <t>INC-008</t>
  </si>
  <si>
    <t>INC-009</t>
  </si>
  <si>
    <t>INC-010</t>
  </si>
  <si>
    <t>INC-011</t>
  </si>
  <si>
    <t>INC-012</t>
  </si>
  <si>
    <t>INC-013</t>
  </si>
  <si>
    <t>INC-014</t>
  </si>
  <si>
    <t>INC-015</t>
  </si>
  <si>
    <t>INC-016</t>
  </si>
  <si>
    <t>INC-017</t>
  </si>
  <si>
    <t>INC-018</t>
  </si>
  <si>
    <t>INC-019</t>
  </si>
  <si>
    <t>INC-020</t>
  </si>
  <si>
    <t>TIMELINE DETALHADA DE INCIDENTE — NIS2</t>
  </si>
  <si>
    <t>Referência do Incidente: [INC-XXX]   |   Tipo: _________________   |   CISO Responsável: _________________</t>
  </si>
  <si>
    <t>📋  Registar cada acção com timestamp preciso. Este documento alimenta o Relatório Final de 1 mês para o CNCS e pode ser solicitado pela PJ Cybercrime como cadeia de custódia digital.</t>
  </si>
  <si>
    <t>Data/Hora
(timestamp)</t>
  </si>
  <si>
    <t>Fase</t>
  </si>
  <si>
    <t>Acção / Evento</t>
  </si>
  <si>
    <t>Executado por</t>
  </si>
  <si>
    <t>Evidência / Referência</t>
  </si>
  <si>
    <t>___ ___:___</t>
  </si>
  <si>
    <t>DETECÇÃO</t>
  </si>
  <si>
    <t>Alerta EDR / utilizador reporta comportamento anómalo</t>
  </si>
  <si>
    <t>TI / Utilizador</t>
  </si>
  <si>
    <t>Log EDR ref: ___</t>
  </si>
  <si>
    <t>Confirmação: incidente real (não falso positivo)</t>
  </si>
  <si>
    <t>CISO</t>
  </si>
  <si>
    <t>Email/chat ref: ___</t>
  </si>
  <si>
    <t>Notificação ao CISO e gestão de topo</t>
  </si>
  <si>
    <t>Email timestamp: ___</t>
  </si>
  <si>
    <t>CONTENÇÃO</t>
  </si>
  <si>
    <t>Isolamento do sistema afectado da rede (cabo/Wi-Fi)</t>
  </si>
  <si>
    <t>TI</t>
  </si>
  <si>
    <t>Foto do equipamento isolado</t>
  </si>
  <si>
    <t>Revogação de acessos remotos (MSP, VPN)</t>
  </si>
  <si>
    <t>Screenshot console admin</t>
  </si>
  <si>
    <t>Alteração de passwords de contas comprometidas</t>
  </si>
  <si>
    <t>Log Active Directory</t>
  </si>
  <si>
    <t>Aviso prévio enviado ao CNCS (prazo: 24h)</t>
  </si>
  <si>
    <t>Email CNCS + ref. ticket</t>
  </si>
  <si>
    <t>Queixa na PJ Cybercrime (se crime informático)</t>
  </si>
  <si>
    <t>CISO + Jurídico</t>
  </si>
  <si>
    <t>Nº de queixa PJ</t>
  </si>
  <si>
    <t>ERRADICAÇÃO</t>
  </si>
  <si>
    <t>Imagem forense do(s) sistema(s) comprometido(s)</t>
  </si>
  <si>
    <t>TI / Forense</t>
  </si>
  <si>
    <t>Hash SHA256 da imagem</t>
  </si>
  <si>
    <t>Análise de causa raiz iniciada (como entrou o atacante?)</t>
  </si>
  <si>
    <t>CISO / Forense</t>
  </si>
  <si>
    <t>Relatório análise parcial</t>
  </si>
  <si>
    <t>Remoção de malware / limpeza dos sistemas</t>
  </si>
  <si>
    <t>Log ferramenta limpeza</t>
  </si>
  <si>
    <t>Notificação detalhada ao CNCS (prazo: 72h)</t>
  </si>
  <si>
    <t>Email CNCS + formulário</t>
  </si>
  <si>
    <t>Notificação CNPD se dados pessoais afectados (72h)</t>
  </si>
  <si>
    <t>CISO + DPO</t>
  </si>
  <si>
    <t>Formulário CNPD ref: ___</t>
  </si>
  <si>
    <t>RECUPERAÇÃO</t>
  </si>
  <si>
    <t>Restauro a partir de backup imutável (verificado)</t>
  </si>
  <si>
    <t>Log backup + hash verificação</t>
  </si>
  <si>
    <t>Testes de integridade — sistema limpo confirmado</t>
  </si>
  <si>
    <t>Relatório scan pós-restauro</t>
  </si>
  <si>
    <t>Retorno à operação normal — monitorização intensiva</t>
  </si>
  <si>
    <t>TI + CISO</t>
  </si>
  <si>
    <t>Data/hora de retorno</t>
  </si>
  <si>
    <t>Comunicação aos clientes afectados (se aplicável)</t>
  </si>
  <si>
    <t>CEO / Comun.</t>
  </si>
  <si>
    <t>Template comunicação</t>
  </si>
  <si>
    <t>PÓS-INCIDENTE</t>
  </si>
  <si>
    <t>Causa raiz confirmada e documentada</t>
  </si>
  <si>
    <t>Relatório análise final</t>
  </si>
  <si>
    <t>Relatório Final enviado ao CNCS (prazo: 1 mês)</t>
  </si>
  <si>
    <t>Formulário CNCS final</t>
  </si>
  <si>
    <t>Reunião de lições aprendidas (post-mortem)</t>
  </si>
  <si>
    <t>CISO + Equipa</t>
  </si>
  <si>
    <t>Ata de reunião</t>
  </si>
  <si>
    <t>Actualização do IRP com lições aprendidas</t>
  </si>
  <si>
    <t>IRP versão actualizada</t>
  </si>
  <si>
    <t>DASHBOARD — MÉTRICAS DE GESTÃO DE INCIDENTES NIS2</t>
  </si>
  <si>
    <t>📊 INCIDENTES — RESUMO DO PERÍODO</t>
  </si>
  <si>
    <t>Total de incidentes registados</t>
  </si>
  <si>
    <t>Incidentes SIGNIFICATIVOS (reporte obrigatório CNCS)</t>
  </si>
  <si>
    <t>Incidentes de gestão interna (não significativos)</t>
  </si>
  <si>
    <t>Incidentes ainda em avaliação</t>
  </si>
  <si>
    <t>🚦 CONFORMIDADE DE REPORTE</t>
  </si>
  <si>
    <t>Reportados ao CNCS a tempo (24h OK)</t>
  </si>
  <si>
    <t>Reportados ao CNCS com atraso</t>
  </si>
  <si>
    <t>Reportáveis mas ainda NÃO reportados</t>
  </si>
  <si>
    <t>Relatórios finais (1 mês) pendentes</t>
  </si>
  <si>
    <t>📈 ANÁLISE POR TIPO</t>
  </si>
  <si>
    <t>Phishing / BEC</t>
  </si>
  <si>
    <t>Quase-incidentes (near miss)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</si>
</sst>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1F3864"/>
      <name val="Arial"/>
      <charset val="1"/>
    </font>
    <font>
      <b/>
      <sz val="9"/>
      <color rgb="FF9B0000"/>
      <name val="Arial"/>
      <charset val="1"/>
    </font>
    <font>
      <sz val="9"/>
      <color rgb="FF7B5000"/>
      <name val="Arial"/>
      <charset val="1"/>
    </font>
    <font>
      <b/>
      <sz val="9"/>
      <color rgb="FFFFFFFF"/>
      <name val="Arial"/>
      <charset val="1"/>
    </font>
    <font>
      <sz val="9"/>
      <color rgb="FF3D3D3D"/>
      <name val="Arial"/>
      <charset val="1"/>
    </font>
    <font>
      <b/>
      <sz val="9"/>
      <color rgb="FFC55A11"/>
      <name val="Arial"/>
      <charset val="1"/>
    </font>
    <font>
      <b/>
      <sz val="9"/>
      <color rgb="FF1A5C38"/>
      <name val="Arial"/>
      <charset val="1"/>
    </font>
    <font>
      <b/>
      <sz val="9"/>
      <color rgb="FF7F7F7F"/>
      <name val="Arial"/>
      <charset val="1"/>
    </font>
    <font>
      <b/>
      <sz val="9"/>
      <color rgb="FF7B5000"/>
      <name val="Arial"/>
      <charset val="1"/>
    </font>
    <font>
      <b/>
      <sz val="9"/>
      <color rgb="FF1F3864"/>
      <name val="Arial"/>
      <charset val="1"/>
    </font>
    <font>
      <b/>
      <sz val="11"/>
      <color rgb="FF1F3864"/>
      <name val="Arial"/>
      <charset val="1"/>
    </font>
    <font>
      <sz val="10"/>
      <color rgb="FF3D3D3D"/>
      <name val="Arial"/>
      <charset val="1"/>
    </font>
    <font>
      <b/>
      <sz val="14"/>
      <color rgb="FF3D3D3D"/>
      <name val="Arial"/>
      <charset val="1"/>
    </font>
    <font>
      <b/>
      <sz val="14"/>
      <color rgb="FF9B0000"/>
      <name val="Arial"/>
      <charset val="1"/>
    </font>
    <font>
      <b/>
      <sz val="14"/>
      <color rgb="FF1A5C38"/>
      <name val="Arial"/>
      <charset val="1"/>
    </font>
    <font>
      <b/>
      <sz val="14"/>
      <color rgb="FF7B5000"/>
      <name val="Arial"/>
      <charset val="1"/>
    </font>
    <font>
      <b/>
      <sz val="11"/>
      <color rgb="FF9B0000"/>
      <name val="Arial"/>
      <charset val="1"/>
    </font>
    <font>
      <b/>
      <sz val="14"/>
      <color rgb="FFC55A11"/>
      <name val="Arial"/>
      <charset val="1"/>
    </font>
    <font>
      <b/>
      <sz val="14"/>
      <color rgb="FF2E75B6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3CD"/>
        <bgColor rgb="FFFDECEA"/>
      </patternFill>
    </fill>
    <fill>
      <patternFill patternType="solid">
        <fgColor rgb="FFFDECEA"/>
        <bgColor rgb="FFF4F4F4"/>
      </patternFill>
    </fill>
    <fill>
      <patternFill patternType="solid">
        <fgColor rgb="FFC55A11"/>
        <bgColor rgb="FFC07A00"/>
      </patternFill>
    </fill>
    <fill>
      <patternFill patternType="solid">
        <fgColor rgb="FFFFFFFF"/>
        <bgColor rgb="FFF4F4F4"/>
      </patternFill>
    </fill>
    <fill>
      <patternFill patternType="solid">
        <fgColor rgb="FFFCE4D6"/>
        <bgColor rgb="FFFDECEA"/>
      </patternFill>
    </fill>
    <fill>
      <patternFill patternType="solid">
        <fgColor rgb="FFE2F0EA"/>
        <bgColor rgb="FFEBF3FB"/>
      </patternFill>
    </fill>
    <fill>
      <patternFill patternType="solid">
        <fgColor rgb="FFF4F4F4"/>
        <bgColor rgb="FFEBF3FB"/>
      </patternFill>
    </fill>
    <fill>
      <patternFill patternType="solid">
        <fgColor rgb="FF9B0000"/>
        <bgColor rgb="FF800000"/>
      </patternFill>
    </fill>
    <fill>
      <patternFill patternType="solid">
        <fgColor rgb="FF7B5000"/>
        <bgColor rgb="FFC55A11"/>
      </patternFill>
    </fill>
    <fill>
      <patternFill patternType="solid">
        <fgColor rgb="FF7F7F7F"/>
        <bgColor rgb="FF969696"/>
      </patternFill>
    </fill>
    <fill>
      <patternFill patternType="solid">
        <fgColor rgb="FF1A5C38"/>
        <bgColor rgb="FF3D3D3D"/>
      </patternFill>
    </fill>
    <fill>
      <patternFill patternType="solid">
        <fgColor rgb="FFEBF3FB"/>
        <bgColor rgb="FFF4F4F4"/>
      </patternFill>
    </fill>
  </fills>
  <borders count="8">
    <border>
      <left/>
      <right/>
      <top/>
      <bottom/>
      <diagonal/>
    </border>
    <border>
      <left style="thin">
        <color rgb="FFC07A00"/>
      </left>
      <right/>
      <top style="thin">
        <color rgb="FFC07A00"/>
      </top>
      <bottom style="thin">
        <color rgb="FFC07A00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B0000"/>
      </left>
      <right style="thin">
        <color rgb="FF9B0000"/>
      </right>
      <top style="thin">
        <color rgb="FF9B0000"/>
      </top>
      <bottom style="thin">
        <color rgb="FF9B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0" fillId="14" borderId="5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0" fontId="17" fillId="3" borderId="5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2" fillId="14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 wrapText="1"/>
    </xf>
    <xf numFmtId="0" fontId="10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/>
    </xf>
    <xf numFmtId="0" fontId="13" fillId="4" borderId="3" xfId="0" applyFont="1" applyFill="1" applyBorder="1" applyAlignment="1">
      <alignment horizontal="left" vertical="center"/>
    </xf>
    <xf numFmtId="0" fontId="13" fillId="8" borderId="3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13" fillId="7" borderId="3" xfId="0" applyFont="1" applyFill="1" applyBorder="1" applyAlignment="1">
      <alignment horizontal="left" vertical="center"/>
    </xf>
    <xf numFmtId="0" fontId="13" fillId="14" borderId="3" xfId="0" applyFont="1" applyFill="1" applyBorder="1" applyAlignment="1">
      <alignment horizontal="left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20" fillId="14" borderId="6" xfId="0" applyFont="1" applyFill="1" applyBorder="1" applyAlignment="1">
      <alignment horizontal="center" vertical="center"/>
    </xf>
    <xf numFmtId="0" fontId="20" fillId="1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0000"/>
      <rgbColor rgb="FF1A5C38"/>
      <rgbColor rgb="FF000080"/>
      <rgbColor rgb="FFC07A00"/>
      <rgbColor rgb="FF800080"/>
      <rgbColor rgb="FF008080"/>
      <rgbColor rgb="FFCCCCCC"/>
      <rgbColor rgb="FF7F7F7F"/>
      <rgbColor rgb="FF9999FF"/>
      <rgbColor rgb="FF993366"/>
      <rgbColor rgb="FFFFF3CD"/>
      <rgbColor rgb="FFE2F0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4F4F4"/>
      <rgbColor rgb="FFFDECEA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7B50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7"/>
  <sheetViews>
    <sheetView showGridLines="0" tabSelected="1" zoomScaleNormal="100" workbookViewId="0">
      <pane ySplit="7" topLeftCell="A8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10" customWidth="1"/>
    <col min="3" max="3" width="14" customWidth="1"/>
    <col min="4" max="4" width="20" customWidth="1"/>
    <col min="5" max="5" width="18" customWidth="1"/>
    <col min="6" max="6" width="14" customWidth="1"/>
    <col min="7" max="9" width="12" customWidth="1"/>
    <col min="10" max="10" width="16" customWidth="1"/>
    <col min="11" max="11" width="22" customWidth="1"/>
    <col min="12" max="12" width="20" customWidth="1"/>
    <col min="13" max="13" width="3" customWidth="1"/>
  </cols>
  <sheetData>
    <row r="2" spans="2:12" ht="31.5" customHeight="1" x14ac:dyDescent="0.35"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2:12" ht="19.5" customHeight="1" x14ac:dyDescent="0.35">
      <c r="B3" s="12" t="s">
        <v>1</v>
      </c>
      <c r="C3" s="12"/>
      <c r="D3" s="12"/>
      <c r="E3" s="12"/>
      <c r="F3" s="12"/>
      <c r="G3" s="12"/>
      <c r="H3" s="11" t="s">
        <v>2</v>
      </c>
      <c r="I3" s="11"/>
      <c r="J3" s="11"/>
      <c r="K3" s="11"/>
      <c r="L3" s="11"/>
    </row>
    <row r="5" spans="2:12" ht="31.5" customHeight="1" x14ac:dyDescent="0.35">
      <c r="B5" s="10" t="s">
        <v>3</v>
      </c>
      <c r="C5" s="10"/>
      <c r="D5" s="10"/>
      <c r="E5" s="10"/>
      <c r="F5" s="10"/>
      <c r="G5" s="10"/>
      <c r="H5" s="10"/>
      <c r="I5" s="10"/>
      <c r="J5" s="10"/>
      <c r="K5" s="10"/>
      <c r="L5" s="10"/>
    </row>
    <row r="7" spans="2:12" ht="39.75" customHeight="1" x14ac:dyDescent="0.35">
      <c r="B7" s="14" t="s">
        <v>4</v>
      </c>
      <c r="C7" s="14" t="s">
        <v>5</v>
      </c>
      <c r="D7" s="14" t="s">
        <v>6</v>
      </c>
      <c r="E7" s="14" t="s">
        <v>7</v>
      </c>
      <c r="F7" s="14" t="s">
        <v>8</v>
      </c>
      <c r="G7" s="14" t="s">
        <v>9</v>
      </c>
      <c r="H7" s="14" t="s">
        <v>10</v>
      </c>
      <c r="I7" s="14" t="s">
        <v>11</v>
      </c>
      <c r="J7" s="14" t="s">
        <v>12</v>
      </c>
      <c r="K7" s="14" t="s">
        <v>13</v>
      </c>
      <c r="L7" s="14" t="s">
        <v>14</v>
      </c>
    </row>
    <row r="8" spans="2:12" ht="49.5" customHeight="1" x14ac:dyDescent="0.35">
      <c r="B8" s="15" t="s">
        <v>15</v>
      </c>
      <c r="C8" s="16" t="s">
        <v>16</v>
      </c>
      <c r="D8" s="17" t="s">
        <v>17</v>
      </c>
      <c r="E8" s="16" t="s">
        <v>18</v>
      </c>
      <c r="F8" s="18" t="s">
        <v>19</v>
      </c>
      <c r="G8" s="19" t="s">
        <v>20</v>
      </c>
      <c r="H8" s="20" t="s">
        <v>21</v>
      </c>
      <c r="I8" s="21" t="s">
        <v>22</v>
      </c>
      <c r="J8" s="16" t="s">
        <v>23</v>
      </c>
      <c r="K8" s="16" t="s">
        <v>24</v>
      </c>
      <c r="L8" s="22" t="s">
        <v>25</v>
      </c>
    </row>
    <row r="9" spans="2:12" ht="49.5" customHeight="1" x14ac:dyDescent="0.35">
      <c r="B9" s="23" t="s">
        <v>26</v>
      </c>
      <c r="C9" s="24" t="s">
        <v>27</v>
      </c>
      <c r="D9" s="17" t="s">
        <v>28</v>
      </c>
      <c r="E9" s="24" t="s">
        <v>29</v>
      </c>
      <c r="F9" s="19" t="s">
        <v>30</v>
      </c>
      <c r="G9" s="19" t="s">
        <v>20</v>
      </c>
      <c r="H9" s="20" t="s">
        <v>21</v>
      </c>
      <c r="I9" s="21" t="s">
        <v>22</v>
      </c>
      <c r="J9" s="24" t="s">
        <v>31</v>
      </c>
      <c r="K9" s="24" t="s">
        <v>32</v>
      </c>
      <c r="L9" s="25" t="s">
        <v>33</v>
      </c>
    </row>
    <row r="10" spans="2:12" ht="49.5" customHeight="1" x14ac:dyDescent="0.35">
      <c r="B10" s="26" t="s">
        <v>34</v>
      </c>
      <c r="C10" s="16" t="s">
        <v>35</v>
      </c>
      <c r="D10" s="17" t="s">
        <v>36</v>
      </c>
      <c r="E10" s="16" t="s">
        <v>37</v>
      </c>
      <c r="F10" s="27" t="s">
        <v>38</v>
      </c>
      <c r="G10" s="20" t="s">
        <v>39</v>
      </c>
      <c r="H10" s="21" t="s">
        <v>22</v>
      </c>
      <c r="I10" s="21" t="s">
        <v>22</v>
      </c>
      <c r="J10" s="16" t="s">
        <v>40</v>
      </c>
      <c r="K10" s="16" t="s">
        <v>41</v>
      </c>
      <c r="L10" s="22" t="s">
        <v>25</v>
      </c>
    </row>
    <row r="11" spans="2:12" ht="49.5" customHeight="1" x14ac:dyDescent="0.35">
      <c r="B11" s="26" t="s">
        <v>42</v>
      </c>
      <c r="C11" s="24" t="s">
        <v>43</v>
      </c>
      <c r="D11" s="17" t="s">
        <v>44</v>
      </c>
      <c r="E11" s="24" t="s">
        <v>45</v>
      </c>
      <c r="F11" s="27" t="s">
        <v>38</v>
      </c>
      <c r="G11" s="20" t="s">
        <v>39</v>
      </c>
      <c r="H11" s="21" t="s">
        <v>22</v>
      </c>
      <c r="I11" s="21" t="s">
        <v>22</v>
      </c>
      <c r="J11" s="24" t="s">
        <v>46</v>
      </c>
      <c r="K11" s="24" t="s">
        <v>47</v>
      </c>
      <c r="L11" s="22" t="s">
        <v>25</v>
      </c>
    </row>
    <row r="12" spans="2:12" ht="49.5" customHeight="1" x14ac:dyDescent="0.35">
      <c r="B12" s="23" t="s">
        <v>48</v>
      </c>
      <c r="C12" s="16" t="s">
        <v>49</v>
      </c>
      <c r="D12" s="17" t="s">
        <v>50</v>
      </c>
      <c r="E12" s="16" t="s">
        <v>51</v>
      </c>
      <c r="F12" s="19" t="s">
        <v>30</v>
      </c>
      <c r="G12" s="19" t="s">
        <v>20</v>
      </c>
      <c r="H12" s="18" t="s">
        <v>52</v>
      </c>
      <c r="I12" s="20" t="s">
        <v>53</v>
      </c>
      <c r="J12" s="16"/>
      <c r="K12" s="16" t="s">
        <v>54</v>
      </c>
      <c r="L12" s="25" t="s">
        <v>55</v>
      </c>
    </row>
    <row r="13" spans="2:12" ht="36" customHeight="1" x14ac:dyDescent="0.35">
      <c r="B13" s="28" t="s">
        <v>56</v>
      </c>
      <c r="C13" s="16"/>
      <c r="D13" s="17"/>
      <c r="E13" s="16"/>
      <c r="F13" s="29"/>
      <c r="G13" s="29"/>
      <c r="H13" s="29"/>
      <c r="I13" s="29"/>
      <c r="J13" s="16"/>
      <c r="K13" s="16"/>
      <c r="L13" s="17"/>
    </row>
    <row r="14" spans="2:12" ht="36" customHeight="1" x14ac:dyDescent="0.35">
      <c r="B14" s="28" t="s">
        <v>57</v>
      </c>
      <c r="C14" s="24"/>
      <c r="D14" s="17"/>
      <c r="E14" s="24"/>
      <c r="F14" s="29"/>
      <c r="G14" s="29"/>
      <c r="H14" s="29"/>
      <c r="I14" s="29"/>
      <c r="J14" s="24"/>
      <c r="K14" s="24"/>
      <c r="L14" s="17"/>
    </row>
    <row r="15" spans="2:12" ht="36" customHeight="1" x14ac:dyDescent="0.35">
      <c r="B15" s="28" t="s">
        <v>58</v>
      </c>
      <c r="C15" s="16"/>
      <c r="D15" s="17"/>
      <c r="E15" s="16"/>
      <c r="F15" s="29"/>
      <c r="G15" s="29"/>
      <c r="H15" s="29"/>
      <c r="I15" s="29"/>
      <c r="J15" s="16"/>
      <c r="K15" s="16"/>
      <c r="L15" s="17"/>
    </row>
    <row r="16" spans="2:12" ht="36" customHeight="1" x14ac:dyDescent="0.35">
      <c r="B16" s="28" t="s">
        <v>59</v>
      </c>
      <c r="C16" s="24"/>
      <c r="D16" s="17"/>
      <c r="E16" s="24"/>
      <c r="F16" s="29"/>
      <c r="G16" s="29"/>
      <c r="H16" s="29"/>
      <c r="I16" s="29"/>
      <c r="J16" s="24"/>
      <c r="K16" s="24"/>
      <c r="L16" s="17"/>
    </row>
    <row r="17" spans="2:12" ht="36" customHeight="1" x14ac:dyDescent="0.35">
      <c r="B17" s="28" t="s">
        <v>60</v>
      </c>
      <c r="C17" s="16"/>
      <c r="D17" s="17"/>
      <c r="E17" s="16"/>
      <c r="F17" s="29"/>
      <c r="G17" s="29"/>
      <c r="H17" s="29"/>
      <c r="I17" s="29"/>
      <c r="J17" s="16"/>
      <c r="K17" s="16"/>
      <c r="L17" s="17"/>
    </row>
    <row r="18" spans="2:12" ht="36" customHeight="1" x14ac:dyDescent="0.35">
      <c r="B18" s="28" t="s">
        <v>61</v>
      </c>
      <c r="C18" s="24"/>
      <c r="D18" s="17"/>
      <c r="E18" s="24"/>
      <c r="F18" s="29"/>
      <c r="G18" s="29"/>
      <c r="H18" s="29"/>
      <c r="I18" s="29"/>
      <c r="J18" s="24"/>
      <c r="K18" s="24"/>
      <c r="L18" s="17"/>
    </row>
    <row r="19" spans="2:12" ht="36" customHeight="1" x14ac:dyDescent="0.35">
      <c r="B19" s="28" t="s">
        <v>62</v>
      </c>
      <c r="C19" s="16"/>
      <c r="D19" s="17"/>
      <c r="E19" s="16"/>
      <c r="F19" s="29"/>
      <c r="G19" s="29"/>
      <c r="H19" s="29"/>
      <c r="I19" s="29"/>
      <c r="J19" s="16"/>
      <c r="K19" s="16"/>
      <c r="L19" s="17"/>
    </row>
    <row r="20" spans="2:12" ht="36" customHeight="1" x14ac:dyDescent="0.35">
      <c r="B20" s="28" t="s">
        <v>63</v>
      </c>
      <c r="C20" s="24"/>
      <c r="D20" s="17"/>
      <c r="E20" s="24"/>
      <c r="F20" s="29"/>
      <c r="G20" s="29"/>
      <c r="H20" s="29"/>
      <c r="I20" s="29"/>
      <c r="J20" s="24"/>
      <c r="K20" s="24"/>
      <c r="L20" s="17"/>
    </row>
    <row r="21" spans="2:12" ht="36" customHeight="1" x14ac:dyDescent="0.35">
      <c r="B21" s="28" t="s">
        <v>64</v>
      </c>
      <c r="C21" s="16"/>
      <c r="D21" s="17"/>
      <c r="E21" s="16"/>
      <c r="F21" s="29"/>
      <c r="G21" s="29"/>
      <c r="H21" s="29"/>
      <c r="I21" s="29"/>
      <c r="J21" s="16"/>
      <c r="K21" s="16"/>
      <c r="L21" s="17"/>
    </row>
    <row r="22" spans="2:12" ht="36" customHeight="1" x14ac:dyDescent="0.35">
      <c r="B22" s="28" t="s">
        <v>65</v>
      </c>
      <c r="C22" s="24"/>
      <c r="D22" s="17"/>
      <c r="E22" s="24"/>
      <c r="F22" s="29"/>
      <c r="G22" s="29"/>
      <c r="H22" s="29"/>
      <c r="I22" s="29"/>
      <c r="J22" s="24"/>
      <c r="K22" s="24"/>
      <c r="L22" s="17"/>
    </row>
    <row r="23" spans="2:12" ht="36" customHeight="1" x14ac:dyDescent="0.35">
      <c r="B23" s="28" t="s">
        <v>66</v>
      </c>
      <c r="C23" s="16"/>
      <c r="D23" s="17"/>
      <c r="E23" s="16"/>
      <c r="F23" s="29"/>
      <c r="G23" s="29"/>
      <c r="H23" s="29"/>
      <c r="I23" s="29"/>
      <c r="J23" s="16"/>
      <c r="K23" s="16"/>
      <c r="L23" s="17"/>
    </row>
    <row r="24" spans="2:12" ht="36" customHeight="1" x14ac:dyDescent="0.35">
      <c r="B24" s="28" t="s">
        <v>67</v>
      </c>
      <c r="C24" s="24"/>
      <c r="D24" s="17"/>
      <c r="E24" s="24"/>
      <c r="F24" s="29"/>
      <c r="G24" s="29"/>
      <c r="H24" s="29"/>
      <c r="I24" s="29"/>
      <c r="J24" s="24"/>
      <c r="K24" s="24"/>
      <c r="L24" s="17"/>
    </row>
    <row r="25" spans="2:12" ht="36" customHeight="1" x14ac:dyDescent="0.35">
      <c r="B25" s="28" t="s">
        <v>68</v>
      </c>
      <c r="C25" s="16"/>
      <c r="D25" s="17"/>
      <c r="E25" s="16"/>
      <c r="F25" s="29"/>
      <c r="G25" s="29"/>
      <c r="H25" s="29"/>
      <c r="I25" s="29"/>
      <c r="J25" s="16"/>
      <c r="K25" s="16"/>
      <c r="L25" s="17"/>
    </row>
    <row r="26" spans="2:12" ht="36" customHeight="1" x14ac:dyDescent="0.35">
      <c r="B26" s="28" t="s">
        <v>69</v>
      </c>
      <c r="C26" s="24"/>
      <c r="D26" s="17"/>
      <c r="E26" s="24"/>
      <c r="F26" s="29"/>
      <c r="G26" s="29"/>
      <c r="H26" s="29"/>
      <c r="I26" s="29"/>
      <c r="J26" s="24"/>
      <c r="K26" s="24"/>
      <c r="L26" s="17"/>
    </row>
    <row r="27" spans="2:12" ht="36" customHeight="1" x14ac:dyDescent="0.35">
      <c r="B27" s="28" t="s">
        <v>70</v>
      </c>
      <c r="C27" s="16"/>
      <c r="D27" s="17"/>
      <c r="E27" s="16"/>
      <c r="F27" s="29"/>
      <c r="G27" s="29"/>
      <c r="H27" s="29"/>
      <c r="I27" s="29"/>
      <c r="J27" s="16"/>
      <c r="K27" s="16"/>
      <c r="L27" s="17"/>
    </row>
  </sheetData>
  <mergeCells count="4">
    <mergeCell ref="B2:L2"/>
    <mergeCell ref="B3:G3"/>
    <mergeCell ref="H3:L3"/>
    <mergeCell ref="B5:L5"/>
  </mergeCells>
  <dataValidations count="6">
    <dataValidation type="list" allowBlank="1" sqref="D8:D100" xr:uid="{00000000-0002-0000-0000-000000000000}">
      <formula1>"Ransomware,Phishing/BEC,Intrusão na rede,DDoS,Fuga de dados,Malware,Acesso não autorizado,Falha de sistema,Quase-incidente,Outro"</formula1>
      <formula2>0</formula2>
    </dataValidation>
    <dataValidation type="list" allowBlank="1" sqref="F8:F100" xr:uid="{00000000-0002-0000-0000-000001000000}">
      <formula1>"🔴 CRÍTICA,🟠 ALTA,🟡 MÉDIA,🟢 BAIXA"</formula1>
      <formula2>0</formula2>
    </dataValidation>
    <dataValidation type="list" allowBlank="1" sqref="G8:G100" xr:uid="{00000000-0002-0000-0000-000002000000}">
      <formula1>"SIM — Reportar CNCS,NÃO — Gestão interna,A AVALIAR"</formula1>
      <formula2>0</formula2>
    </dataValidation>
    <dataValidation type="list" allowBlank="1" sqref="H8:H100" xr:uid="{00000000-0002-0000-0000-000003000000}">
      <formula1>"✅ SIM (24h OK),⚠️ SIM (atrasado),🔴 NÃO (pendente),— N/A"</formula1>
      <formula2>0</formula2>
    </dataValidation>
    <dataValidation type="list" allowBlank="1" sqref="I8:I100" xr:uid="{00000000-0002-0000-0000-000004000000}">
      <formula1>"✅ SIM,🔴 NÃO (pendente),— N/A"</formula1>
      <formula2>0</formula2>
    </dataValidation>
    <dataValidation type="list" allowBlank="1" sqref="L8:L100" xr:uid="{00000000-0002-0000-0000-000005000000}">
      <formula1>"🔴 Em curso,🟠 Contido,🟡 Em recuperação,✅ Encerrado,📋 Relatório final pendente"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8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16" customWidth="1"/>
    <col min="3" max="3" width="20" customWidth="1"/>
    <col min="4" max="4" width="40" customWidth="1"/>
    <col min="5" max="6" width="24" customWidth="1"/>
    <col min="7" max="7" width="3" customWidth="1"/>
  </cols>
  <sheetData>
    <row r="2" spans="2:6" ht="31.5" customHeight="1" x14ac:dyDescent="0.35">
      <c r="B2" s="9" t="s">
        <v>71</v>
      </c>
      <c r="C2" s="9"/>
      <c r="D2" s="9"/>
      <c r="E2" s="9"/>
      <c r="F2" s="9"/>
    </row>
    <row r="3" spans="2:6" ht="19.5" customHeight="1" x14ac:dyDescent="0.35">
      <c r="B3" s="11" t="s">
        <v>72</v>
      </c>
      <c r="C3" s="11"/>
      <c r="D3" s="11"/>
      <c r="E3" s="11"/>
      <c r="F3" s="11"/>
    </row>
    <row r="5" spans="2:6" ht="27.75" customHeight="1" x14ac:dyDescent="0.35">
      <c r="B5" s="10" t="s">
        <v>73</v>
      </c>
      <c r="C5" s="10"/>
      <c r="D5" s="10"/>
      <c r="E5" s="10"/>
      <c r="F5" s="10"/>
    </row>
    <row r="7" spans="2:6" ht="33.75" customHeight="1" x14ac:dyDescent="0.35">
      <c r="B7" s="30" t="s">
        <v>74</v>
      </c>
      <c r="C7" s="30" t="s">
        <v>75</v>
      </c>
      <c r="D7" s="30" t="s">
        <v>76</v>
      </c>
      <c r="E7" s="30" t="s">
        <v>77</v>
      </c>
      <c r="F7" s="30" t="s">
        <v>78</v>
      </c>
    </row>
    <row r="8" spans="2:6" ht="33.75" customHeight="1" x14ac:dyDescent="0.35">
      <c r="B8" s="31" t="s">
        <v>79</v>
      </c>
      <c r="C8" s="23" t="s">
        <v>80</v>
      </c>
      <c r="D8" s="32" t="s">
        <v>81</v>
      </c>
      <c r="E8" s="32" t="s">
        <v>82</v>
      </c>
      <c r="F8" s="32" t="s">
        <v>83</v>
      </c>
    </row>
    <row r="9" spans="2:6" ht="33.75" customHeight="1" x14ac:dyDescent="0.35">
      <c r="B9" s="33" t="s">
        <v>79</v>
      </c>
      <c r="C9" s="23" t="s">
        <v>80</v>
      </c>
      <c r="D9" s="16" t="s">
        <v>84</v>
      </c>
      <c r="E9" s="16" t="s">
        <v>85</v>
      </c>
      <c r="F9" s="16" t="s">
        <v>86</v>
      </c>
    </row>
    <row r="10" spans="2:6" ht="33.75" customHeight="1" x14ac:dyDescent="0.35">
      <c r="B10" s="31" t="s">
        <v>79</v>
      </c>
      <c r="C10" s="23" t="s">
        <v>80</v>
      </c>
      <c r="D10" s="32" t="s">
        <v>87</v>
      </c>
      <c r="E10" s="32" t="s">
        <v>85</v>
      </c>
      <c r="F10" s="32" t="s">
        <v>88</v>
      </c>
    </row>
    <row r="11" spans="2:6" ht="33.75" customHeight="1" x14ac:dyDescent="0.35">
      <c r="B11" s="34" t="s">
        <v>79</v>
      </c>
      <c r="C11" s="15" t="s">
        <v>89</v>
      </c>
      <c r="D11" s="16" t="s">
        <v>90</v>
      </c>
      <c r="E11" s="16" t="s">
        <v>91</v>
      </c>
      <c r="F11" s="16" t="s">
        <v>92</v>
      </c>
    </row>
    <row r="12" spans="2:6" ht="33.75" customHeight="1" x14ac:dyDescent="0.35">
      <c r="B12" s="35" t="s">
        <v>79</v>
      </c>
      <c r="C12" s="15" t="s">
        <v>89</v>
      </c>
      <c r="D12" s="36" t="s">
        <v>93</v>
      </c>
      <c r="E12" s="36" t="s">
        <v>91</v>
      </c>
      <c r="F12" s="36" t="s">
        <v>94</v>
      </c>
    </row>
    <row r="13" spans="2:6" ht="33.75" customHeight="1" x14ac:dyDescent="0.35">
      <c r="B13" s="34" t="s">
        <v>79</v>
      </c>
      <c r="C13" s="15" t="s">
        <v>89</v>
      </c>
      <c r="D13" s="16" t="s">
        <v>95</v>
      </c>
      <c r="E13" s="16" t="s">
        <v>91</v>
      </c>
      <c r="F13" s="16" t="s">
        <v>96</v>
      </c>
    </row>
    <row r="14" spans="2:6" ht="33.75" customHeight="1" x14ac:dyDescent="0.35">
      <c r="B14" s="35" t="s">
        <v>79</v>
      </c>
      <c r="C14" s="15" t="s">
        <v>89</v>
      </c>
      <c r="D14" s="36" t="s">
        <v>97</v>
      </c>
      <c r="E14" s="36" t="s">
        <v>85</v>
      </c>
      <c r="F14" s="36" t="s">
        <v>98</v>
      </c>
    </row>
    <row r="15" spans="2:6" ht="33.75" customHeight="1" x14ac:dyDescent="0.35">
      <c r="B15" s="34" t="s">
        <v>79</v>
      </c>
      <c r="C15" s="15" t="s">
        <v>89</v>
      </c>
      <c r="D15" s="16" t="s">
        <v>99</v>
      </c>
      <c r="E15" s="16" t="s">
        <v>100</v>
      </c>
      <c r="F15" s="16" t="s">
        <v>101</v>
      </c>
    </row>
    <row r="16" spans="2:6" ht="33.75" customHeight="1" x14ac:dyDescent="0.35">
      <c r="B16" s="37" t="s">
        <v>79</v>
      </c>
      <c r="C16" s="26" t="s">
        <v>102</v>
      </c>
      <c r="D16" s="38" t="s">
        <v>103</v>
      </c>
      <c r="E16" s="38" t="s">
        <v>104</v>
      </c>
      <c r="F16" s="38" t="s">
        <v>105</v>
      </c>
    </row>
    <row r="17" spans="2:6" ht="33.75" customHeight="1" x14ac:dyDescent="0.35">
      <c r="B17" s="39" t="s">
        <v>79</v>
      </c>
      <c r="C17" s="26" t="s">
        <v>102</v>
      </c>
      <c r="D17" s="16" t="s">
        <v>106</v>
      </c>
      <c r="E17" s="16" t="s">
        <v>107</v>
      </c>
      <c r="F17" s="16" t="s">
        <v>108</v>
      </c>
    </row>
    <row r="18" spans="2:6" ht="33.75" customHeight="1" x14ac:dyDescent="0.35">
      <c r="B18" s="37" t="s">
        <v>79</v>
      </c>
      <c r="C18" s="26" t="s">
        <v>102</v>
      </c>
      <c r="D18" s="38" t="s">
        <v>109</v>
      </c>
      <c r="E18" s="38" t="s">
        <v>91</v>
      </c>
      <c r="F18" s="38" t="s">
        <v>110</v>
      </c>
    </row>
    <row r="19" spans="2:6" ht="33.75" customHeight="1" x14ac:dyDescent="0.35">
      <c r="B19" s="39" t="s">
        <v>79</v>
      </c>
      <c r="C19" s="26" t="s">
        <v>102</v>
      </c>
      <c r="D19" s="16" t="s">
        <v>111</v>
      </c>
      <c r="E19" s="16" t="s">
        <v>85</v>
      </c>
      <c r="F19" s="16" t="s">
        <v>112</v>
      </c>
    </row>
    <row r="20" spans="2:6" ht="33.75" customHeight="1" x14ac:dyDescent="0.35">
      <c r="B20" s="37" t="s">
        <v>79</v>
      </c>
      <c r="C20" s="26" t="s">
        <v>102</v>
      </c>
      <c r="D20" s="38" t="s">
        <v>113</v>
      </c>
      <c r="E20" s="38" t="s">
        <v>114</v>
      </c>
      <c r="F20" s="38" t="s">
        <v>115</v>
      </c>
    </row>
    <row r="21" spans="2:6" ht="33.75" customHeight="1" x14ac:dyDescent="0.35">
      <c r="B21" s="40" t="s">
        <v>79</v>
      </c>
      <c r="C21" s="41" t="s">
        <v>116</v>
      </c>
      <c r="D21" s="16" t="s">
        <v>117</v>
      </c>
      <c r="E21" s="16" t="s">
        <v>91</v>
      </c>
      <c r="F21" s="16" t="s">
        <v>118</v>
      </c>
    </row>
    <row r="22" spans="2:6" ht="33.75" customHeight="1" x14ac:dyDescent="0.35">
      <c r="B22" s="42" t="s">
        <v>79</v>
      </c>
      <c r="C22" s="41" t="s">
        <v>116</v>
      </c>
      <c r="D22" s="43" t="s">
        <v>119</v>
      </c>
      <c r="E22" s="43" t="s">
        <v>91</v>
      </c>
      <c r="F22" s="43" t="s">
        <v>120</v>
      </c>
    </row>
    <row r="23" spans="2:6" ht="33.75" customHeight="1" x14ac:dyDescent="0.35">
      <c r="B23" s="40" t="s">
        <v>79</v>
      </c>
      <c r="C23" s="41" t="s">
        <v>116</v>
      </c>
      <c r="D23" s="16" t="s">
        <v>121</v>
      </c>
      <c r="E23" s="16" t="s">
        <v>122</v>
      </c>
      <c r="F23" s="16" t="s">
        <v>123</v>
      </c>
    </row>
    <row r="24" spans="2:6" ht="33.75" customHeight="1" x14ac:dyDescent="0.35">
      <c r="B24" s="42" t="s">
        <v>79</v>
      </c>
      <c r="C24" s="41" t="s">
        <v>116</v>
      </c>
      <c r="D24" s="43" t="s">
        <v>124</v>
      </c>
      <c r="E24" s="43" t="s">
        <v>125</v>
      </c>
      <c r="F24" s="43" t="s">
        <v>126</v>
      </c>
    </row>
    <row r="25" spans="2:6" ht="33.75" customHeight="1" x14ac:dyDescent="0.35">
      <c r="B25" s="44" t="s">
        <v>79</v>
      </c>
      <c r="C25" s="45" t="s">
        <v>127</v>
      </c>
      <c r="D25" s="16" t="s">
        <v>128</v>
      </c>
      <c r="E25" s="16" t="s">
        <v>85</v>
      </c>
      <c r="F25" s="16" t="s">
        <v>129</v>
      </c>
    </row>
    <row r="26" spans="2:6" ht="33.75" customHeight="1" x14ac:dyDescent="0.35">
      <c r="B26" s="46" t="s">
        <v>79</v>
      </c>
      <c r="C26" s="45" t="s">
        <v>127</v>
      </c>
      <c r="D26" s="47" t="s">
        <v>130</v>
      </c>
      <c r="E26" s="47" t="s">
        <v>85</v>
      </c>
      <c r="F26" s="47" t="s">
        <v>131</v>
      </c>
    </row>
    <row r="27" spans="2:6" ht="33.75" customHeight="1" x14ac:dyDescent="0.35">
      <c r="B27" s="44" t="s">
        <v>79</v>
      </c>
      <c r="C27" s="45" t="s">
        <v>127</v>
      </c>
      <c r="D27" s="16" t="s">
        <v>132</v>
      </c>
      <c r="E27" s="16" t="s">
        <v>133</v>
      </c>
      <c r="F27" s="16" t="s">
        <v>134</v>
      </c>
    </row>
    <row r="28" spans="2:6" ht="33.75" customHeight="1" x14ac:dyDescent="0.35">
      <c r="B28" s="46" t="s">
        <v>79</v>
      </c>
      <c r="C28" s="45" t="s">
        <v>127</v>
      </c>
      <c r="D28" s="47" t="s">
        <v>135</v>
      </c>
      <c r="E28" s="47" t="s">
        <v>85</v>
      </c>
      <c r="F28" s="47" t="s">
        <v>136</v>
      </c>
    </row>
  </sheetData>
  <mergeCells count="3">
    <mergeCell ref="B2:F2"/>
    <mergeCell ref="B3:F3"/>
    <mergeCell ref="B5:F5"/>
  </mergeCells>
  <dataValidations count="1">
    <dataValidation type="list" allowBlank="1" sqref="C8:C100" xr:uid="{00000000-0002-0000-0100-000000000000}">
      <formula1>"DETECÇÃO,CONTENÇÃO,ERRADICAÇÃO,RECUPERAÇÃO,PÓS-INCIDENTE"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0"/>
  <sheetViews>
    <sheetView showGridLines="0" topLeftCell="A6" zoomScaleNormal="100" workbookViewId="0">
      <selection activeCell="H18" sqref="H18"/>
    </sheetView>
  </sheetViews>
  <sheetFormatPr defaultColWidth="8.6328125" defaultRowHeight="14.5" x14ac:dyDescent="0.35"/>
  <cols>
    <col min="1" max="1" width="3" customWidth="1"/>
    <col min="2" max="2" width="45.54296875" customWidth="1"/>
    <col min="3" max="3" width="13.453125" customWidth="1"/>
    <col min="4" max="4" width="10.08984375" customWidth="1"/>
    <col min="5" max="5" width="8.6328125" customWidth="1"/>
    <col min="6" max="6" width="3" customWidth="1"/>
  </cols>
  <sheetData>
    <row r="2" spans="2:5" ht="31.5" customHeight="1" x14ac:dyDescent="0.35">
      <c r="B2" s="13" t="s">
        <v>137</v>
      </c>
      <c r="C2" s="13"/>
      <c r="D2" s="13"/>
      <c r="E2" s="13"/>
    </row>
    <row r="4" spans="2:5" ht="25.5" customHeight="1" x14ac:dyDescent="0.35">
      <c r="B4" s="8" t="s">
        <v>138</v>
      </c>
      <c r="C4" s="8"/>
      <c r="D4" s="8"/>
      <c r="E4" s="8"/>
    </row>
    <row r="5" spans="2:5" ht="30" customHeight="1" x14ac:dyDescent="0.35">
      <c r="B5" s="48" t="s">
        <v>139</v>
      </c>
      <c r="C5" s="7">
        <f>COUNTA('📋 REGISTO DE INCIDENTES'!B8:B100)</f>
        <v>20</v>
      </c>
      <c r="D5" s="54"/>
      <c r="E5" s="55"/>
    </row>
    <row r="6" spans="2:5" ht="30" customHeight="1" x14ac:dyDescent="0.35">
      <c r="B6" s="49" t="s">
        <v>140</v>
      </c>
      <c r="C6" s="6">
        <f>COUNTIF('📋 REGISTO DE INCIDENTES'!G8:G100,"SIM*")</f>
        <v>3</v>
      </c>
      <c r="D6" s="56"/>
      <c r="E6" s="57"/>
    </row>
    <row r="7" spans="2:5" ht="30" customHeight="1" x14ac:dyDescent="0.35">
      <c r="B7" s="50" t="s">
        <v>141</v>
      </c>
      <c r="C7" s="5">
        <f>COUNTIF('📋 REGISTO DE INCIDENTES'!G8:G100,"NÃO*")</f>
        <v>2</v>
      </c>
      <c r="D7" s="58"/>
      <c r="E7" s="59"/>
    </row>
    <row r="8" spans="2:5" ht="30" customHeight="1" x14ac:dyDescent="0.35">
      <c r="B8" s="51" t="s">
        <v>142</v>
      </c>
      <c r="C8" s="4">
        <f>COUNTIF('📋 REGISTO DE INCIDENTES'!G8:G100,"A AVALIAR")</f>
        <v>0</v>
      </c>
      <c r="D8" s="60"/>
      <c r="E8" s="61"/>
    </row>
    <row r="10" spans="2:5" ht="25.5" customHeight="1" x14ac:dyDescent="0.35">
      <c r="B10" s="3" t="s">
        <v>143</v>
      </c>
      <c r="C10" s="3"/>
      <c r="D10" s="3"/>
      <c r="E10" s="3"/>
    </row>
    <row r="11" spans="2:5" ht="30" customHeight="1" x14ac:dyDescent="0.35">
      <c r="B11" s="50" t="s">
        <v>144</v>
      </c>
      <c r="C11" s="5">
        <f>COUNTIF('📋 REGISTO DE INCIDENTES'!H8:H100,"✅ SIM (24h OK)")</f>
        <v>2</v>
      </c>
      <c r="D11" s="58"/>
      <c r="E11" s="59"/>
    </row>
    <row r="12" spans="2:5" ht="30" customHeight="1" x14ac:dyDescent="0.35">
      <c r="B12" s="52" t="s">
        <v>145</v>
      </c>
      <c r="C12" s="2">
        <f>COUNTIF('📋 REGISTO DE INCIDENTES'!H8:H100,"⚠️ SIM (atrasado)")</f>
        <v>1</v>
      </c>
      <c r="D12" s="62"/>
      <c r="E12" s="63"/>
    </row>
    <row r="13" spans="2:5" ht="30" customHeight="1" x14ac:dyDescent="0.35">
      <c r="B13" s="49" t="s">
        <v>146</v>
      </c>
      <c r="C13" s="6">
        <f>COUNTIF('📋 REGISTO DE INCIDENTES'!H8:H100,"🔴 NÃO (pendente)")</f>
        <v>0</v>
      </c>
      <c r="D13" s="56"/>
      <c r="E13" s="57"/>
    </row>
    <row r="14" spans="2:5" ht="30" customHeight="1" x14ac:dyDescent="0.35">
      <c r="B14" s="51" t="s">
        <v>147</v>
      </c>
      <c r="C14" s="4">
        <f>COUNTIF('📋 REGISTO DE INCIDENTES'!L8:L100,"📋 Relatório final pendente")</f>
        <v>1</v>
      </c>
      <c r="D14" s="60"/>
      <c r="E14" s="61"/>
    </row>
    <row r="16" spans="2:5" ht="25.5" customHeight="1" x14ac:dyDescent="0.35">
      <c r="B16" s="8" t="s">
        <v>148</v>
      </c>
      <c r="C16" s="8"/>
      <c r="D16" s="8"/>
      <c r="E16" s="8"/>
    </row>
    <row r="17" spans="2:5" ht="30" customHeight="1" x14ac:dyDescent="0.35">
      <c r="B17" s="49" t="s">
        <v>28</v>
      </c>
      <c r="C17" s="6">
        <f>COUNTIF('📋 REGISTO DE INCIDENTES'!D8:D100,"Ransomware")</f>
        <v>1</v>
      </c>
      <c r="D17" s="56"/>
      <c r="E17" s="57"/>
    </row>
    <row r="18" spans="2:5" ht="30" customHeight="1" x14ac:dyDescent="0.35">
      <c r="B18" s="52" t="s">
        <v>149</v>
      </c>
      <c r="C18" s="2">
        <f>COUNTIF('📋 REGISTO DE INCIDENTES'!D8:D100,"Phishing/BEC")</f>
        <v>1</v>
      </c>
      <c r="D18" s="62"/>
      <c r="E18" s="63"/>
    </row>
    <row r="19" spans="2:5" ht="30" customHeight="1" x14ac:dyDescent="0.35">
      <c r="B19" s="51" t="s">
        <v>50</v>
      </c>
      <c r="C19" s="4">
        <f>COUNTIF('📋 REGISTO DE INCIDENTES'!D8:D100,"Fuga de dados")</f>
        <v>1</v>
      </c>
      <c r="D19" s="60"/>
      <c r="E19" s="61"/>
    </row>
    <row r="20" spans="2:5" ht="30" customHeight="1" x14ac:dyDescent="0.35">
      <c r="B20" s="53" t="s">
        <v>150</v>
      </c>
      <c r="C20" s="1">
        <f>COUNTIF('📋 REGISTO DE INCIDENTES'!D8:D100,"Quase-incidente")</f>
        <v>1</v>
      </c>
      <c r="D20" s="64"/>
      <c r="E20" s="65"/>
    </row>
  </sheetData>
  <mergeCells count="16">
    <mergeCell ref="C5:E5"/>
    <mergeCell ref="C6:E6"/>
    <mergeCell ref="C7:E7"/>
    <mergeCell ref="C8:E8"/>
    <mergeCell ref="C11:E11"/>
    <mergeCell ref="C12:E12"/>
    <mergeCell ref="C13:E13"/>
    <mergeCell ref="C14:E14"/>
    <mergeCell ref="C17:E17"/>
    <mergeCell ref="C18:E18"/>
    <mergeCell ref="C19:E19"/>
    <mergeCell ref="C20:E20"/>
    <mergeCell ref="B16:E16"/>
    <mergeCell ref="B10:E10"/>
    <mergeCell ref="B2:E2"/>
    <mergeCell ref="B4:E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📋 REGISTO DE INCIDENTES</vt:lpstr>
      <vt:lpstr>⏱️ TIMELINE DE INCIDENTE</vt:lpstr>
      <vt:lpstr>📊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EMERSON LUIZ SANTOS</cp:lastModifiedBy>
  <cp:revision>0</cp:revision>
  <dcterms:created xsi:type="dcterms:W3CDTF">2026-03-08T11:34:50Z</dcterms:created>
  <dcterms:modified xsi:type="dcterms:W3CDTF">2026-03-08T12:08:10Z</dcterms:modified>
  <dc:language>en-US</dc:language>
</cp:coreProperties>
</file>