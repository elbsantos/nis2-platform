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merson.santos\Documents\Pessoal\Consultoria-NIS\NIS-Curso\Modulo 1\Aula-4\"/>
    </mc:Choice>
  </mc:AlternateContent>
  <xr:revisionPtr revIDLastSave="0" documentId="13_ncr:1_{2E731C88-762A-4B8D-9B3C-79BEB227DDCD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📋 INSTRUÇÕES" sheetId="1" r:id="rId1"/>
    <sheet name="🗂️ INVENTÁRIO COMPLETO" sheetId="2" r:id="rId2"/>
    <sheet name="🔴 FORNECEDORES CRÍTICOS" sheetId="3" r:id="rId3"/>
    <sheet name="📊 DASHBOARD TPR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" i="4" l="1"/>
  <c r="C15" i="4"/>
  <c r="C14" i="4"/>
  <c r="C13" i="4"/>
  <c r="C12" i="4"/>
  <c r="C11" i="4"/>
  <c r="C7" i="4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  <c r="J8" i="2"/>
  <c r="C8" i="4" s="1"/>
  <c r="K8" i="2" l="1"/>
  <c r="C6" i="4"/>
</calcChain>
</file>

<file path=xl/sharedStrings.xml><?xml version="1.0" encoding="utf-8"?>
<sst xmlns="http://schemas.openxmlformats.org/spreadsheetml/2006/main" count="230" uniqueCount="153">
  <si>
    <t>INVENTÁRIO E CLASSIFICAÇÃO DE FORNECEDORES NIS2 — TPRM</t>
  </si>
  <si>
    <t>Third-Party Risk Management  ·  Art. 21.º §2(d) NIS2  ·  DL 125/2025  ·  ISO/IEC 27036</t>
  </si>
  <si>
    <t>📌  PARA QUE SERVE ESTE INVENTÁRIO?</t>
  </si>
  <si>
    <t>A NIS2 (Art. 21.º §2(d)) obriga as entidades a gerir os 'riscos da segurança da cadeia de abastecimento, incluindo os aspectos de segurança relacionados com as relações entre cada entidade e os seus fornecedores'. Este inventário é o ponto de partida obrigatório — sem saber quem são os seus fornecedores e o risco que representam, não é possível gerir essa segurança de forma estruturada.</t>
  </si>
  <si>
    <t>📊  SEPARADORES DISPONÍVEIS</t>
  </si>
  <si>
    <t>🗂️  INVENTÁRIO COMPLETO — Lista de todos os fornecedores com classificação de criticidade, acesso e scoring de risco</t>
  </si>
  <si>
    <t>🔴  FORNECEDORES CRÍTICOS — Vista filtrada dos fornecedores prioritários com plano de avaliação e estado</t>
  </si>
  <si>
    <t>📊  DASHBOARD TPRM — Resumo executivo para gestão de topo com métricas de cobertura</t>
  </si>
  <si>
    <t>🎯  METODOLOGIA DE CLASSIFICAÇÃO</t>
  </si>
  <si>
    <t>🔴  CRÍTICO — Fornecedor cujo serviço é essencial para a continuidade do negócio OU que tem acesso a dados altamente sensíveis (ERP, base de dados de clientes, sistemas de produção)</t>
  </si>
  <si>
    <t>🟠  IMPORTANTE — Suporta operações significativas mas falha não paralisa a empresa imediatamente (e-mail, website, ferramentas de produtividade)</t>
  </si>
  <si>
    <t>🟡  SUPORTE — Baixo impacto operacional em caso de falha (consumíveis, software de nicho, consultoria esporádica)</t>
  </si>
  <si>
    <t>⚙️  SCORING DE RISCO — COMO É CALCULADO</t>
  </si>
  <si>
    <t>O Nível de Risco TPRM é calculado automaticamente: Criticidade (1-3) × Acesso a Dados (1-3) × Acesso Remoto (1-2) × (3 - Certificação)</t>
  </si>
  <si>
    <t>Quanto MAIOR o score → MAIOR a prioridade de avaliação formal. Fornecedores com score ≥ 10 devem ser avaliados com questionário de due diligence.</t>
  </si>
  <si>
    <t>⚠️  INSTRUÇÕES DE PREENCHIMENTO</t>
  </si>
  <si>
    <t>1. Preencha as células AMARELAS — os campos de cálculo são automáticos</t>
  </si>
  <si>
    <t>2. Use os dropdowns em Criticidade, Tipo de Acesso e Estado de Avaliação</t>
  </si>
  <si>
    <t>3. Reveja e actualize o inventário semestralmente ou quando contratar/terminar um fornecedor</t>
  </si>
  <si>
    <t>4. Fornecedores CRÍTICOS devem ter questionário de due diligence respondido arquivado</t>
  </si>
  <si>
    <t>5. Este documento é evidência para auditoria CNCS — Art. 21.º NIS2</t>
  </si>
  <si>
    <t>INVENTÁRIO DE FORNECEDORES — GESTÃO DE RISCOS DA CADEIA DE ABASTECIMENTO</t>
  </si>
  <si>
    <t>Empresa: [Nome]</t>
  </si>
  <si>
    <t>Última revisão: ___/___/______   Responsável TPRM: _________________   Próxima revisão: ___/___/______</t>
  </si>
  <si>
    <t>⚠️  Preencha os campos AMARELOS. O Score de Risco é calculado automaticamente. Fornecedores com Score ≥ 10 requerem avaliação formal com questionário de due diligence.</t>
  </si>
  <si>
    <t>ID</t>
  </si>
  <si>
    <t>Nome do Fornecedor</t>
  </si>
  <si>
    <t>Serviço / Produto</t>
  </si>
  <si>
    <t>Categoria</t>
  </si>
  <si>
    <t>Criticidade</t>
  </si>
  <si>
    <t>Acesso a
Dados Sens.</t>
  </si>
  <si>
    <t>Acesso
Remoto</t>
  </si>
  <si>
    <t>Certificação
(ISO/SOC2)</t>
  </si>
  <si>
    <t>Score
Risco</t>
  </si>
  <si>
    <t>Classificação</t>
  </si>
  <si>
    <t>Cláusulas NIS2
no Contrato?</t>
  </si>
  <si>
    <t>Estado
Avaliação</t>
  </si>
  <si>
    <t>F01</t>
  </si>
  <si>
    <t>Microsoft (M365 + Azure)</t>
  </si>
  <si>
    <t>Suite produtividade, email, cloud backup, ERP cloud</t>
  </si>
  <si>
    <t>SaaS/IaaS</t>
  </si>
  <si>
    <t>3-Crítico</t>
  </si>
  <si>
    <t>3-Dados Críticos</t>
  </si>
  <si>
    <t>1-Não</t>
  </si>
  <si>
    <t>1-ISO 27001</t>
  </si>
  <si>
    <t>✅ OK</t>
  </si>
  <si>
    <t>✅ Avaliado</t>
  </si>
  <si>
    <t>F02</t>
  </si>
  <si>
    <t>MSP TechSupport Lda.</t>
  </si>
  <si>
    <t>Gestão remota de toda a infraestrutura TI, helpdesk 24/7</t>
  </si>
  <si>
    <t>MSP</t>
  </si>
  <si>
    <t>2-Sim</t>
  </si>
  <si>
    <t>2-Apenas declaração</t>
  </si>
  <si>
    <t>⚠️ Pendente</t>
  </si>
  <si>
    <t>F03</t>
  </si>
  <si>
    <t>Sage Portugal</t>
  </si>
  <si>
    <t>Software de contabilidade e faturação cloud</t>
  </si>
  <si>
    <t>SaaS</t>
  </si>
  <si>
    <t>F04</t>
  </si>
  <si>
    <t>Vodafone Portugal</t>
  </si>
  <si>
    <t>Ligação internet principal, telefonia VoIP</t>
  </si>
  <si>
    <t>Telecomunicações</t>
  </si>
  <si>
    <t>1-Sem Acesso</t>
  </si>
  <si>
    <t>F05</t>
  </si>
  <si>
    <t>Salesforce</t>
  </si>
  <si>
    <t>CRM com dados de clientes (contactos, negócios, propostas)</t>
  </si>
  <si>
    <t>2-Importante</t>
  </si>
  <si>
    <t>1-SOC2 Type II</t>
  </si>
  <si>
    <t>F06</t>
  </si>
  <si>
    <t>GestoSoft Lda.</t>
  </si>
  <si>
    <t>Software de gestão de RH — dados pessoais de colaboradores</t>
  </si>
  <si>
    <t>2-Dados Internos</t>
  </si>
  <si>
    <t>3-Nenhuma</t>
  </si>
  <si>
    <t>🔴 Não</t>
  </si>
  <si>
    <t>🔴 Não avaliado</t>
  </si>
  <si>
    <t>F07</t>
  </si>
  <si>
    <t>Segware — Sistema de Alarme</t>
  </si>
  <si>
    <t>Alarme e CCTV com acesso remoto ao edifício</t>
  </si>
  <si>
    <t>Segurança Física</t>
  </si>
  <si>
    <t>F08</t>
  </si>
  <si>
    <t>Google Workspace</t>
  </si>
  <si>
    <t>Email alternativo para comunicações com clientes</t>
  </si>
  <si>
    <t>1-Suporte</t>
  </si>
  <si>
    <t>F09</t>
  </si>
  <si>
    <t>Cisco (Hardware de rede)</t>
  </si>
  <si>
    <t>Switches e router principal — compra única</t>
  </si>
  <si>
    <t>Hardware</t>
  </si>
  <si>
    <t>N/A</t>
  </si>
  <si>
    <t>F10</t>
  </si>
  <si>
    <t>Consultora Jurídica ABC</t>
  </si>
  <si>
    <t>Assessoria legal — acesso ocasional a contratos</t>
  </si>
  <si>
    <t>Serviço Profissional</t>
  </si>
  <si>
    <t>F11</t>
  </si>
  <si>
    <t>CTT Expresso</t>
  </si>
  <si>
    <t>Serviço de entregas — sem acesso a sistemas TI</t>
  </si>
  <si>
    <t>Logística</t>
  </si>
  <si>
    <t>F12</t>
  </si>
  <si>
    <t>Sophos (EDR/Firewall)</t>
  </si>
  <si>
    <t>Endpoint Detection &amp; Response + Next-Gen Firewall</t>
  </si>
  <si>
    <t>Segurança TI</t>
  </si>
  <si>
    <t>F13</t>
  </si>
  <si>
    <t>F14</t>
  </si>
  <si>
    <t>F15</t>
  </si>
  <si>
    <t>F16</t>
  </si>
  <si>
    <t>F17</t>
  </si>
  <si>
    <t>F18</t>
  </si>
  <si>
    <t>F19</t>
  </si>
  <si>
    <t>F20</t>
  </si>
  <si>
    <t>PLANO DE AVALIAÇÃO — FORNECEDORES CRÍTICOS E IMPORTANTES</t>
  </si>
  <si>
    <t>Foco nos fornecedores com Score ≥ 5 — Due Diligence obrigatória para Score ≥ 10</t>
  </si>
  <si>
    <t>Fornecedor</t>
  </si>
  <si>
    <t>Serviço</t>
  </si>
  <si>
    <t>Risco Principal</t>
  </si>
  <si>
    <t>Acção Requerida</t>
  </si>
  <si>
    <t>Prazo</t>
  </si>
  <si>
    <t>Estado</t>
  </si>
  <si>
    <t>Cloud ERP, Email, Backup</t>
  </si>
  <si>
    <t>Modelo de responsabilidade partilhada — a PME é responsável pela configuração segura e gestão de identidades (MFA)</t>
  </si>
  <si>
    <t>Verificar configuração MFA, políticas de acesso condicional e backup independente (Azure + cópia local)</t>
  </si>
  <si>
    <t>30 dias</t>
  </si>
  <si>
    <t>Gestão remota de TI</t>
  </si>
  <si>
    <t>RISCO MÁXIMO: acesso administrativo a TODOS os sistemas. Se o MSP for comprometido, toda a infraestrutura é comprometida</t>
  </si>
  <si>
    <t>URGENTE: Enviar Questionário Due Diligence. Exigir MFA nos acessos remotos. Auditar logs de acesso. Incluir cláusulas NIS2 no contrato.</t>
  </si>
  <si>
    <t>15 dias</t>
  </si>
  <si>
    <t>Contabilidade e faturação</t>
  </si>
  <si>
    <t>Acesso a dados financeiros e fiscais sensíveis. Dependência operacional total para faturação e declarações AT</t>
  </si>
  <si>
    <t>Solicitar documentação de segurança. Verificar cláusula de notificação de incidentes no contrato. Confirmar DPA RGPD.</t>
  </si>
  <si>
    <t>45 dias</t>
  </si>
  <si>
    <t>RH — dados pessoais</t>
  </si>
  <si>
    <t>Dados pessoais de colaboradores (salários, NIFs, dados bancários). Dupla exposição: NIS2 + RGPD</t>
  </si>
  <si>
    <t>URGENTE: Enviar Questionário Due Diligence. Exigir RGPD DPA. Verificar segurança da aplicação. Considerar alternativa com ISO 27001.</t>
  </si>
  <si>
    <t>Segware — Alarme</t>
  </si>
  <si>
    <t>Segurança física + acesso remoto</t>
  </si>
  <si>
    <t>Acesso remoto físico ao edifício — risco de sabotagem ou intrusão física através do sistema digital</t>
  </si>
  <si>
    <t>Auditar acessos remotos ao sistema de alarme. Exigir MFA para acesso remoto. Rever contrato com cláusula de auditoria.</t>
  </si>
  <si>
    <t>60 dias</t>
  </si>
  <si>
    <t>Segurança TI crítica</t>
  </si>
  <si>
    <t>O EDR/Firewall tem visibilidade total do tráfego de rede. Comprometimento do fornecedor = visibilidade total do atacante</t>
  </si>
  <si>
    <t>Verificar integridade dos agentes instalados. Confirmar canais de actualização assinados digitalmente. Rever SLA de suporte.</t>
  </si>
  <si>
    <t>DASHBOARD — GESTÃO DE RISCOS DE FORNECEDORES (TPRM)</t>
  </si>
  <si>
    <t>📊 INVENTÁRIO — RESUMO GERAL</t>
  </si>
  <si>
    <t>Total de Fornecedores no Inventário</t>
  </si>
  <si>
    <t>Fornecedores CRÍTICOS (score ≥ 10)</t>
  </si>
  <si>
    <t>Fornecedores IMPORTANTES (score 5-9)</t>
  </si>
  <si>
    <t>Fornecedores BAIXO RISCO (score 1-4)</t>
  </si>
  <si>
    <t>📋 COBERTURA — AVALIAÇÃO E CONTRATOS</t>
  </si>
  <si>
    <t>Fornecedores com Avaliação Concluída</t>
  </si>
  <si>
    <t>Fornecedores Pendentes de Avaliação</t>
  </si>
  <si>
    <t>Fornecedores Não Avaliados</t>
  </si>
  <si>
    <t>Fornecedores com Cláusulas NIS2 no Contrato</t>
  </si>
  <si>
    <t>Fornecedores SEM Cláusulas NIS2</t>
  </si>
  <si>
    <t>🎯 AÇÃO PRIORITÁRIA RECOMENDADA</t>
  </si>
  <si>
    <t>1. Avaliar imediatamente fornecedores com score ≥ 10 (F02, F06 — MSP e RH)  ·  2. Enviar Questionário Due Diligence (PDF Aula 1.4) a todos com "🔴 Não avaliado"  ·  3. Actualizar contratos em falta com cláusulas NIS2 (Template Word Aula 1.4)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</si>
</sst>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b/>
      <sz val="11"/>
      <color rgb="FF1F3864"/>
      <name val="Arial"/>
      <family val="2"/>
    </font>
    <font>
      <sz val="10"/>
      <color rgb="FF3D3D3D"/>
      <name val="Arial"/>
      <family val="2"/>
    </font>
    <font>
      <b/>
      <sz val="11"/>
      <color rgb="FF7B5000"/>
      <name val="Arial"/>
      <family val="2"/>
    </font>
    <font>
      <b/>
      <sz val="12"/>
      <color rgb="FFFFFFFF"/>
      <name val="Arial"/>
      <family val="2"/>
    </font>
    <font>
      <b/>
      <sz val="10"/>
      <color rgb="FF1F3864"/>
      <name val="Arial"/>
      <family val="2"/>
    </font>
    <font>
      <b/>
      <sz val="9"/>
      <color rgb="FF9B0000"/>
      <name val="Arial"/>
      <family val="2"/>
    </font>
    <font>
      <sz val="9"/>
      <color rgb="FF7B5000"/>
      <name val="Arial"/>
      <family val="2"/>
    </font>
    <font>
      <sz val="9"/>
      <color rgb="FF3D3D3D"/>
      <name val="Arial"/>
      <family val="2"/>
    </font>
    <font>
      <b/>
      <sz val="9"/>
      <color rgb="FF7B5000"/>
      <name val="Arial"/>
      <family val="2"/>
    </font>
    <font>
      <b/>
      <sz val="11"/>
      <color rgb="FF3D3D3D"/>
      <name val="Arial"/>
      <family val="2"/>
    </font>
    <font>
      <b/>
      <sz val="9"/>
      <color rgb="FF3D3D3D"/>
      <name val="Arial"/>
      <family val="2"/>
    </font>
    <font>
      <b/>
      <sz val="9"/>
      <color rgb="FF1A5C38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9B0000"/>
      <name val="Arial"/>
      <family val="2"/>
    </font>
    <font>
      <b/>
      <sz val="14"/>
      <color rgb="FF3D3D3D"/>
      <name val="Arial"/>
      <family val="2"/>
    </font>
    <font>
      <b/>
      <sz val="14"/>
      <color rgb="FF9B0000"/>
      <name val="Arial"/>
      <family val="2"/>
    </font>
    <font>
      <b/>
      <sz val="14"/>
      <color rgb="FFC55A11"/>
      <name val="Arial"/>
      <family val="2"/>
    </font>
    <font>
      <b/>
      <sz val="14"/>
      <color rgb="FF1A5C38"/>
      <name val="Arial"/>
      <family val="2"/>
    </font>
    <font>
      <b/>
      <sz val="14"/>
      <color rgb="FF7B5000"/>
      <name val="Arial"/>
      <family val="2"/>
    </font>
    <font>
      <b/>
      <sz val="11"/>
      <color rgb="FF9B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4F4F4"/>
      </patternFill>
    </fill>
    <fill>
      <patternFill patternType="solid">
        <fgColor rgb="FFFFFFFF"/>
        <bgColor rgb="FFF4F4F4"/>
      </patternFill>
    </fill>
    <fill>
      <patternFill patternType="solid">
        <fgColor rgb="FFFFF3CD"/>
        <bgColor rgb="FFFDECEA"/>
      </patternFill>
    </fill>
    <fill>
      <patternFill patternType="solid">
        <fgColor rgb="FFFDECEA"/>
        <bgColor rgb="FFF4F4F4"/>
      </patternFill>
    </fill>
    <fill>
      <patternFill patternType="solid">
        <fgColor rgb="FF9B0000"/>
        <bgColor rgb="FF800000"/>
      </patternFill>
    </fill>
    <fill>
      <patternFill patternType="solid">
        <fgColor rgb="FFE2F0EA"/>
        <bgColor rgb="FFEBF3FB"/>
      </patternFill>
    </fill>
    <fill>
      <patternFill patternType="solid">
        <fgColor rgb="FFF4F4F4"/>
        <bgColor rgb="FFEBF3FB"/>
      </patternFill>
    </fill>
    <fill>
      <patternFill patternType="solid">
        <fgColor rgb="FFC55A11"/>
        <bgColor rgb="FFC07A00"/>
      </patternFill>
    </fill>
    <fill>
      <patternFill patternType="solid">
        <fgColor rgb="FF7F7F7F"/>
        <bgColor rgb="FF969696"/>
      </patternFill>
    </fill>
    <fill>
      <patternFill patternType="solid">
        <fgColor rgb="FFFCE4D6"/>
        <bgColor rgb="FFFDECEA"/>
      </patternFill>
    </fill>
  </fills>
  <borders count="10">
    <border>
      <left/>
      <right/>
      <top/>
      <bottom/>
      <diagonal/>
    </border>
    <border>
      <left style="thin">
        <color rgb="FFC07A00"/>
      </left>
      <right/>
      <top style="thin">
        <color rgb="FFC07A00"/>
      </top>
      <bottom style="thin">
        <color rgb="FFC07A00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B0000"/>
      </left>
      <right style="thin">
        <color rgb="FF9B0000"/>
      </right>
      <top style="thin">
        <color rgb="FF9B0000"/>
      </top>
      <bottom style="thin">
        <color rgb="FF9B0000"/>
      </bottom>
      <diagonal/>
    </border>
    <border>
      <left style="thin">
        <color rgb="FF9B0000"/>
      </left>
      <right/>
      <top style="thin">
        <color rgb="FF9B0000"/>
      </top>
      <bottom style="thin">
        <color rgb="FF9B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07A00"/>
      </left>
      <right style="thin">
        <color rgb="FFC07A00"/>
      </right>
      <top style="thin">
        <color rgb="FFC07A00"/>
      </top>
      <bottom style="thin">
        <color rgb="FFC07A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center" vertical="center" wrapText="1"/>
    </xf>
    <xf numFmtId="1" fontId="12" fillId="5" borderId="3" xfId="0" applyNumberFormat="1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left" vertical="center" wrapText="1"/>
    </xf>
    <xf numFmtId="1" fontId="12" fillId="10" borderId="3" xfId="0" applyNumberFormat="1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center" vertical="center" wrapText="1"/>
    </xf>
    <xf numFmtId="1" fontId="15" fillId="5" borderId="3" xfId="0" applyNumberFormat="1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left" vertical="center" wrapText="1"/>
    </xf>
    <xf numFmtId="1" fontId="15" fillId="10" borderId="3" xfId="0" applyNumberFormat="1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left" vertical="center" wrapText="1"/>
    </xf>
    <xf numFmtId="0" fontId="17" fillId="7" borderId="3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8" fillId="13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left" vertical="center"/>
    </xf>
    <xf numFmtId="0" fontId="4" fillId="13" borderId="3" xfId="0" applyFont="1" applyFill="1" applyBorder="1" applyAlignment="1">
      <alignment horizontal="left" vertical="center"/>
    </xf>
    <xf numFmtId="0" fontId="4" fillId="9" borderId="3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23" fillId="7" borderId="0" xfId="0" applyFont="1" applyFill="1" applyAlignment="1">
      <alignment horizontal="left" vertical="center"/>
    </xf>
    <xf numFmtId="0" fontId="17" fillId="7" borderId="5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9" fillId="6" borderId="1" xfId="0" applyFont="1" applyFill="1" applyBorder="1" applyAlignment="1">
      <alignment horizontal="left" vertical="center" wrapText="1"/>
    </xf>
    <xf numFmtId="0" fontId="6" fillId="8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/>
    </xf>
    <xf numFmtId="0" fontId="19" fillId="7" borderId="8" xfId="0" applyFont="1" applyFill="1" applyBorder="1" applyAlignment="1">
      <alignment horizontal="center" vertical="center"/>
    </xf>
    <xf numFmtId="0" fontId="20" fillId="13" borderId="6" xfId="0" applyFont="1" applyFill="1" applyBorder="1" applyAlignment="1">
      <alignment horizontal="center" vertical="center"/>
    </xf>
    <xf numFmtId="0" fontId="20" fillId="13" borderId="7" xfId="0" applyFont="1" applyFill="1" applyBorder="1" applyAlignment="1">
      <alignment horizontal="center" vertical="center"/>
    </xf>
    <xf numFmtId="0" fontId="20" fillId="13" borderId="8" xfId="0" applyFont="1" applyFill="1" applyBorder="1" applyAlignment="1">
      <alignment horizontal="center" vertical="center"/>
    </xf>
    <xf numFmtId="0" fontId="21" fillId="9" borderId="6" xfId="0" applyFont="1" applyFill="1" applyBorder="1" applyAlignment="1">
      <alignment horizontal="center" vertical="center"/>
    </xf>
    <xf numFmtId="0" fontId="21" fillId="9" borderId="7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0" fontId="22" fillId="6" borderId="6" xfId="0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0" fontId="22" fillId="6" borderId="8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left" vertical="center" wrapText="1"/>
    </xf>
    <xf numFmtId="0" fontId="9" fillId="6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3">
    <dxf>
      <font>
        <b/>
        <sz val="10"/>
        <color rgb="FF1A5C38"/>
        <name val="Arial"/>
        <charset val="1"/>
      </font>
      <fill>
        <patternFill>
          <bgColor rgb="FFE2F0EA"/>
        </patternFill>
      </fill>
    </dxf>
    <dxf>
      <font>
        <b/>
        <sz val="10"/>
        <color rgb="FF7B5000"/>
        <name val="Arial"/>
        <charset val="1"/>
      </font>
      <fill>
        <patternFill>
          <bgColor rgb="FFFFF3CD"/>
        </patternFill>
      </fill>
    </dxf>
    <dxf>
      <font>
        <b/>
        <sz val="10"/>
        <color rgb="FF9B0000"/>
        <name val="Arial"/>
        <charset val="1"/>
      </font>
      <fill>
        <patternFill>
          <bgColor rgb="FFFDECE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B0000"/>
      <rgbColor rgb="FF1A5C38"/>
      <rgbColor rgb="FF000080"/>
      <rgbColor rgb="FFC07A00"/>
      <rgbColor rgb="FF800080"/>
      <rgbColor rgb="FF008080"/>
      <rgbColor rgb="FFCCCCCC"/>
      <rgbColor rgb="FF7F7F7F"/>
      <rgbColor rgb="FF9999FF"/>
      <rgbColor rgb="FF993366"/>
      <rgbColor rgb="FFFFF3CD"/>
      <rgbColor rgb="FFE2F0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F4F4F4"/>
      <rgbColor rgb="FFFDECEA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7B50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7"/>
  <sheetViews>
    <sheetView showGridLines="0" topLeftCell="A2" zoomScaleNormal="100" workbookViewId="0"/>
  </sheetViews>
  <sheetFormatPr defaultColWidth="8.6328125" defaultRowHeight="14.5" x14ac:dyDescent="0.35"/>
  <cols>
    <col min="1" max="1" width="3" customWidth="1"/>
    <col min="2" max="2" width="56.81640625" customWidth="1"/>
    <col min="3" max="3" width="47.7265625" customWidth="1"/>
  </cols>
  <sheetData>
    <row r="2" spans="2:3" ht="37.5" customHeight="1" x14ac:dyDescent="0.35">
      <c r="B2" s="42" t="s">
        <v>0</v>
      </c>
      <c r="C2" s="42"/>
    </row>
    <row r="3" spans="2:3" ht="19.5" customHeight="1" x14ac:dyDescent="0.35">
      <c r="B3" s="43" t="s">
        <v>1</v>
      </c>
      <c r="C3" s="43"/>
    </row>
    <row r="5" spans="2:3" ht="24" customHeight="1" x14ac:dyDescent="0.35">
      <c r="B5" s="44" t="s">
        <v>2</v>
      </c>
      <c r="C5" s="44"/>
    </row>
    <row r="6" spans="2:3" ht="55.5" customHeight="1" x14ac:dyDescent="0.35">
      <c r="B6" s="40" t="s">
        <v>3</v>
      </c>
      <c r="C6" s="40"/>
    </row>
    <row r="8" spans="2:3" ht="24" customHeight="1" x14ac:dyDescent="0.35">
      <c r="B8" s="44" t="s">
        <v>4</v>
      </c>
      <c r="C8" s="44"/>
    </row>
    <row r="9" spans="2:3" ht="25.5" customHeight="1" x14ac:dyDescent="0.35">
      <c r="B9" s="40" t="s">
        <v>5</v>
      </c>
      <c r="C9" s="40"/>
    </row>
    <row r="10" spans="2:3" ht="25.5" customHeight="1" x14ac:dyDescent="0.35">
      <c r="B10" s="40" t="s">
        <v>6</v>
      </c>
      <c r="C10" s="40"/>
    </row>
    <row r="11" spans="2:3" ht="25.5" customHeight="1" x14ac:dyDescent="0.35">
      <c r="B11" s="40" t="s">
        <v>7</v>
      </c>
      <c r="C11" s="40"/>
    </row>
    <row r="13" spans="2:3" ht="24" customHeight="1" x14ac:dyDescent="0.35">
      <c r="B13" s="41" t="s">
        <v>8</v>
      </c>
      <c r="C13" s="41"/>
    </row>
    <row r="14" spans="2:3" ht="27.75" customHeight="1" x14ac:dyDescent="0.35">
      <c r="B14" s="40" t="s">
        <v>9</v>
      </c>
      <c r="C14" s="40"/>
    </row>
    <row r="15" spans="2:3" ht="27.75" customHeight="1" x14ac:dyDescent="0.35">
      <c r="B15" s="40" t="s">
        <v>10</v>
      </c>
      <c r="C15" s="40"/>
    </row>
    <row r="16" spans="2:3" ht="27.75" customHeight="1" x14ac:dyDescent="0.35">
      <c r="B16" s="40" t="s">
        <v>11</v>
      </c>
      <c r="C16" s="40"/>
    </row>
    <row r="18" spans="2:3" ht="24" customHeight="1" x14ac:dyDescent="0.35">
      <c r="B18" s="41" t="s">
        <v>12</v>
      </c>
      <c r="C18" s="41"/>
    </row>
    <row r="19" spans="2:3" ht="27.75" customHeight="1" x14ac:dyDescent="0.35">
      <c r="B19" s="40" t="s">
        <v>13</v>
      </c>
      <c r="C19" s="40"/>
    </row>
    <row r="20" spans="2:3" ht="27.75" customHeight="1" x14ac:dyDescent="0.35">
      <c r="B20" s="40" t="s">
        <v>14</v>
      </c>
      <c r="C20" s="40"/>
    </row>
    <row r="22" spans="2:3" ht="24" customHeight="1" x14ac:dyDescent="0.35">
      <c r="B22" s="41" t="s">
        <v>15</v>
      </c>
      <c r="C22" s="41"/>
    </row>
    <row r="23" spans="2:3" ht="21.75" customHeight="1" x14ac:dyDescent="0.35">
      <c r="B23" s="40" t="s">
        <v>16</v>
      </c>
      <c r="C23" s="40"/>
    </row>
    <row r="24" spans="2:3" ht="21.75" customHeight="1" x14ac:dyDescent="0.35">
      <c r="B24" s="40" t="s">
        <v>17</v>
      </c>
      <c r="C24" s="40"/>
    </row>
    <row r="25" spans="2:3" ht="21.75" customHeight="1" x14ac:dyDescent="0.35">
      <c r="B25" s="40" t="s">
        <v>18</v>
      </c>
      <c r="C25" s="40"/>
    </row>
    <row r="26" spans="2:3" ht="21.75" customHeight="1" x14ac:dyDescent="0.35">
      <c r="B26" s="40" t="s">
        <v>19</v>
      </c>
      <c r="C26" s="40"/>
    </row>
    <row r="27" spans="2:3" ht="21.75" customHeight="1" x14ac:dyDescent="0.35">
      <c r="B27" s="40" t="s">
        <v>20</v>
      </c>
      <c r="C27" s="40"/>
    </row>
  </sheetData>
  <mergeCells count="21">
    <mergeCell ref="B2:C2"/>
    <mergeCell ref="B3:C3"/>
    <mergeCell ref="B5:C5"/>
    <mergeCell ref="B6:C6"/>
    <mergeCell ref="B8:C8"/>
    <mergeCell ref="B9:C9"/>
    <mergeCell ref="B10:C10"/>
    <mergeCell ref="B11:C11"/>
    <mergeCell ref="B13:C13"/>
    <mergeCell ref="B14:C14"/>
    <mergeCell ref="B15:C15"/>
    <mergeCell ref="B16:C16"/>
    <mergeCell ref="B18:C18"/>
    <mergeCell ref="B19:C19"/>
    <mergeCell ref="B20:C20"/>
    <mergeCell ref="B27:C27"/>
    <mergeCell ref="B22:C22"/>
    <mergeCell ref="B23:C23"/>
    <mergeCell ref="B24:C24"/>
    <mergeCell ref="B25:C25"/>
    <mergeCell ref="B26:C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27"/>
  <sheetViews>
    <sheetView showGridLines="0" tabSelected="1" zoomScaleNormal="100" workbookViewId="0">
      <pane ySplit="7" topLeftCell="A8" activePane="bottomLeft" state="frozen"/>
      <selection pane="bottomLeft" activeCell="F11" sqref="F11"/>
    </sheetView>
  </sheetViews>
  <sheetFormatPr defaultColWidth="8.6328125" defaultRowHeight="14.5" x14ac:dyDescent="0.35"/>
  <cols>
    <col min="1" max="1" width="3" customWidth="1"/>
    <col min="2" max="2" width="8" customWidth="1"/>
    <col min="3" max="3" width="28" customWidth="1"/>
    <col min="4" max="4" width="20" customWidth="1"/>
    <col min="5" max="5" width="18" customWidth="1"/>
    <col min="6" max="8" width="14" customWidth="1"/>
    <col min="9" max="10" width="12" customWidth="1"/>
    <col min="11" max="11" width="14" customWidth="1"/>
    <col min="12" max="12" width="22" customWidth="1"/>
    <col min="13" max="13" width="18" customWidth="1"/>
    <col min="14" max="14" width="3" customWidth="1"/>
  </cols>
  <sheetData>
    <row r="2" spans="2:13" ht="31.5" customHeight="1" x14ac:dyDescent="0.35">
      <c r="B2" s="39" t="s">
        <v>21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2:13" ht="19.5" customHeight="1" x14ac:dyDescent="0.35">
      <c r="B3" s="45" t="s">
        <v>22</v>
      </c>
      <c r="C3" s="45"/>
      <c r="D3" s="45"/>
      <c r="E3" s="45"/>
      <c r="F3" s="45"/>
      <c r="G3" s="45"/>
      <c r="H3" s="46" t="s">
        <v>23</v>
      </c>
      <c r="I3" s="46"/>
      <c r="J3" s="46"/>
      <c r="K3" s="46"/>
      <c r="L3" s="46"/>
      <c r="M3" s="46"/>
    </row>
    <row r="5" spans="2:13" ht="30" customHeight="1" x14ac:dyDescent="0.35">
      <c r="B5" s="47" t="s">
        <v>24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66"/>
    </row>
    <row r="7" spans="2:13" ht="39.75" customHeight="1" x14ac:dyDescent="0.35"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  <c r="L7" s="1" t="s">
        <v>35</v>
      </c>
      <c r="M7" s="1" t="s">
        <v>36</v>
      </c>
    </row>
    <row r="8" spans="2:13" ht="39.75" customHeight="1" x14ac:dyDescent="0.35">
      <c r="B8" s="2" t="s">
        <v>37</v>
      </c>
      <c r="C8" s="3" t="s">
        <v>38</v>
      </c>
      <c r="D8" s="3" t="s">
        <v>39</v>
      </c>
      <c r="E8" s="3" t="s">
        <v>40</v>
      </c>
      <c r="F8" s="4" t="s">
        <v>41</v>
      </c>
      <c r="G8" s="4" t="s">
        <v>42</v>
      </c>
      <c r="H8" s="4" t="s">
        <v>43</v>
      </c>
      <c r="I8" s="4" t="s">
        <v>44</v>
      </c>
      <c r="J8" s="5">
        <f t="shared" ref="J8:J27" si="0">IF(F8="","",VALUE(LEFT(F8,1))*VALUE(LEFT(G8,1))*VALUE(LEFT(H8,1))*(4-VALUE(LEFT(I8,1))))</f>
        <v>27</v>
      </c>
      <c r="K8" s="6" t="str">
        <f t="shared" ref="K8:K27" si="1">IF(J8="","",IF(J8&gt;=10,"🔴 PRIORIDADE ALTA",IF(J8&gt;=5,"🟠 PRIORIDADE MÉDIA","🟢 PRIORIDADE BAIXA")))</f>
        <v>🔴 PRIORIDADE ALTA</v>
      </c>
      <c r="L8" s="7" t="s">
        <v>45</v>
      </c>
      <c r="M8" s="7" t="s">
        <v>46</v>
      </c>
    </row>
    <row r="9" spans="2:13" ht="39.75" customHeight="1" x14ac:dyDescent="0.35">
      <c r="B9" s="2" t="s">
        <v>47</v>
      </c>
      <c r="C9" s="8" t="s">
        <v>48</v>
      </c>
      <c r="D9" s="8" t="s">
        <v>49</v>
      </c>
      <c r="E9" s="8" t="s">
        <v>50</v>
      </c>
      <c r="F9" s="4" t="s">
        <v>41</v>
      </c>
      <c r="G9" s="4" t="s">
        <v>42</v>
      </c>
      <c r="H9" s="4" t="s">
        <v>51</v>
      </c>
      <c r="I9" s="4" t="s">
        <v>52</v>
      </c>
      <c r="J9" s="9">
        <f t="shared" si="0"/>
        <v>36</v>
      </c>
      <c r="K9" s="10" t="str">
        <f t="shared" si="1"/>
        <v>🔴 PRIORIDADE ALTA</v>
      </c>
      <c r="L9" s="4" t="s">
        <v>53</v>
      </c>
      <c r="M9" s="4" t="s">
        <v>53</v>
      </c>
    </row>
    <row r="10" spans="2:13" ht="39.75" customHeight="1" x14ac:dyDescent="0.35">
      <c r="B10" s="2" t="s">
        <v>54</v>
      </c>
      <c r="C10" s="3" t="s">
        <v>55</v>
      </c>
      <c r="D10" s="3" t="s">
        <v>56</v>
      </c>
      <c r="E10" s="3" t="s">
        <v>57</v>
      </c>
      <c r="F10" s="4" t="s">
        <v>41</v>
      </c>
      <c r="G10" s="4" t="s">
        <v>42</v>
      </c>
      <c r="H10" s="4" t="s">
        <v>43</v>
      </c>
      <c r="I10" s="4" t="s">
        <v>52</v>
      </c>
      <c r="J10" s="5">
        <f t="shared" si="0"/>
        <v>18</v>
      </c>
      <c r="K10" s="6" t="str">
        <f t="shared" si="1"/>
        <v>🔴 PRIORIDADE ALTA</v>
      </c>
      <c r="L10" s="4" t="s">
        <v>53</v>
      </c>
      <c r="M10" s="4" t="s">
        <v>53</v>
      </c>
    </row>
    <row r="11" spans="2:13" ht="39.75" customHeight="1" x14ac:dyDescent="0.35">
      <c r="B11" s="2" t="s">
        <v>58</v>
      </c>
      <c r="C11" s="8" t="s">
        <v>59</v>
      </c>
      <c r="D11" s="8" t="s">
        <v>60</v>
      </c>
      <c r="E11" s="8" t="s">
        <v>61</v>
      </c>
      <c r="F11" s="4" t="s">
        <v>41</v>
      </c>
      <c r="G11" s="4" t="s">
        <v>62</v>
      </c>
      <c r="H11" s="4" t="s">
        <v>43</v>
      </c>
      <c r="I11" s="4" t="s">
        <v>44</v>
      </c>
      <c r="J11" s="9">
        <f t="shared" si="0"/>
        <v>9</v>
      </c>
      <c r="K11" s="10" t="str">
        <f t="shared" si="1"/>
        <v>🟠 PRIORIDADE MÉDIA</v>
      </c>
      <c r="L11" s="7" t="s">
        <v>45</v>
      </c>
      <c r="M11" s="7" t="s">
        <v>46</v>
      </c>
    </row>
    <row r="12" spans="2:13" ht="39.75" customHeight="1" x14ac:dyDescent="0.35">
      <c r="B12" s="11" t="s">
        <v>63</v>
      </c>
      <c r="C12" s="3" t="s">
        <v>64</v>
      </c>
      <c r="D12" s="3" t="s">
        <v>65</v>
      </c>
      <c r="E12" s="3" t="s">
        <v>57</v>
      </c>
      <c r="F12" s="4" t="s">
        <v>66</v>
      </c>
      <c r="G12" s="4" t="s">
        <v>42</v>
      </c>
      <c r="H12" s="4" t="s">
        <v>43</v>
      </c>
      <c r="I12" s="4" t="s">
        <v>67</v>
      </c>
      <c r="J12" s="5">
        <f t="shared" si="0"/>
        <v>18</v>
      </c>
      <c r="K12" s="6" t="str">
        <f t="shared" si="1"/>
        <v>🔴 PRIORIDADE ALTA</v>
      </c>
      <c r="L12" s="7" t="s">
        <v>45</v>
      </c>
      <c r="M12" s="7" t="s">
        <v>46</v>
      </c>
    </row>
    <row r="13" spans="2:13" ht="39.75" customHeight="1" x14ac:dyDescent="0.35">
      <c r="B13" s="11" t="s">
        <v>68</v>
      </c>
      <c r="C13" s="8" t="s">
        <v>69</v>
      </c>
      <c r="D13" s="8" t="s">
        <v>70</v>
      </c>
      <c r="E13" s="8" t="s">
        <v>57</v>
      </c>
      <c r="F13" s="4" t="s">
        <v>66</v>
      </c>
      <c r="G13" s="4" t="s">
        <v>71</v>
      </c>
      <c r="H13" s="4" t="s">
        <v>43</v>
      </c>
      <c r="I13" s="4" t="s">
        <v>72</v>
      </c>
      <c r="J13" s="9">
        <f t="shared" si="0"/>
        <v>4</v>
      </c>
      <c r="K13" s="10" t="str">
        <f t="shared" si="1"/>
        <v>🟢 PRIORIDADE BAIXA</v>
      </c>
      <c r="L13" s="12" t="s">
        <v>73</v>
      </c>
      <c r="M13" s="12" t="s">
        <v>74</v>
      </c>
    </row>
    <row r="14" spans="2:13" ht="39.75" customHeight="1" x14ac:dyDescent="0.35">
      <c r="B14" s="11" t="s">
        <v>75</v>
      </c>
      <c r="C14" s="3" t="s">
        <v>76</v>
      </c>
      <c r="D14" s="3" t="s">
        <v>77</v>
      </c>
      <c r="E14" s="3" t="s">
        <v>78</v>
      </c>
      <c r="F14" s="4" t="s">
        <v>66</v>
      </c>
      <c r="G14" s="4" t="s">
        <v>62</v>
      </c>
      <c r="H14" s="4" t="s">
        <v>51</v>
      </c>
      <c r="I14" s="4" t="s">
        <v>72</v>
      </c>
      <c r="J14" s="5">
        <f t="shared" si="0"/>
        <v>4</v>
      </c>
      <c r="K14" s="6" t="str">
        <f t="shared" si="1"/>
        <v>🟢 PRIORIDADE BAIXA</v>
      </c>
      <c r="L14" s="12" t="s">
        <v>73</v>
      </c>
      <c r="M14" s="4" t="s">
        <v>53</v>
      </c>
    </row>
    <row r="15" spans="2:13" ht="39.75" customHeight="1" x14ac:dyDescent="0.35">
      <c r="B15" s="13" t="s">
        <v>79</v>
      </c>
      <c r="C15" s="8" t="s">
        <v>80</v>
      </c>
      <c r="D15" s="8" t="s">
        <v>81</v>
      </c>
      <c r="E15" s="8" t="s">
        <v>57</v>
      </c>
      <c r="F15" s="4" t="s">
        <v>82</v>
      </c>
      <c r="G15" s="4" t="s">
        <v>71</v>
      </c>
      <c r="H15" s="4" t="s">
        <v>43</v>
      </c>
      <c r="I15" s="4" t="s">
        <v>44</v>
      </c>
      <c r="J15" s="9">
        <f t="shared" si="0"/>
        <v>6</v>
      </c>
      <c r="K15" s="10" t="str">
        <f t="shared" si="1"/>
        <v>🟠 PRIORIDADE MÉDIA</v>
      </c>
      <c r="L15" s="7" t="s">
        <v>45</v>
      </c>
      <c r="M15" s="7" t="s">
        <v>46</v>
      </c>
    </row>
    <row r="16" spans="2:13" ht="39.75" customHeight="1" x14ac:dyDescent="0.35">
      <c r="B16" s="11" t="s">
        <v>83</v>
      </c>
      <c r="C16" s="3" t="s">
        <v>84</v>
      </c>
      <c r="D16" s="3" t="s">
        <v>85</v>
      </c>
      <c r="E16" s="3" t="s">
        <v>86</v>
      </c>
      <c r="F16" s="4" t="s">
        <v>66</v>
      </c>
      <c r="G16" s="4" t="s">
        <v>62</v>
      </c>
      <c r="H16" s="4" t="s">
        <v>43</v>
      </c>
      <c r="I16" s="4" t="s">
        <v>44</v>
      </c>
      <c r="J16" s="5">
        <f t="shared" si="0"/>
        <v>6</v>
      </c>
      <c r="K16" s="6" t="str">
        <f t="shared" si="1"/>
        <v>🟠 PRIORIDADE MÉDIA</v>
      </c>
      <c r="L16" s="4" t="s">
        <v>87</v>
      </c>
      <c r="M16" s="7" t="s">
        <v>46</v>
      </c>
    </row>
    <row r="17" spans="2:13" ht="39.75" customHeight="1" x14ac:dyDescent="0.35">
      <c r="B17" s="13" t="s">
        <v>88</v>
      </c>
      <c r="C17" s="8" t="s">
        <v>89</v>
      </c>
      <c r="D17" s="8" t="s">
        <v>90</v>
      </c>
      <c r="E17" s="8" t="s">
        <v>91</v>
      </c>
      <c r="F17" s="4" t="s">
        <v>82</v>
      </c>
      <c r="G17" s="4" t="s">
        <v>71</v>
      </c>
      <c r="H17" s="4" t="s">
        <v>43</v>
      </c>
      <c r="I17" s="4" t="s">
        <v>72</v>
      </c>
      <c r="J17" s="9">
        <f t="shared" si="0"/>
        <v>2</v>
      </c>
      <c r="K17" s="10" t="str">
        <f t="shared" si="1"/>
        <v>🟢 PRIORIDADE BAIXA</v>
      </c>
      <c r="L17" s="4" t="s">
        <v>53</v>
      </c>
      <c r="M17" s="4" t="s">
        <v>53</v>
      </c>
    </row>
    <row r="18" spans="2:13" ht="39.75" customHeight="1" x14ac:dyDescent="0.35">
      <c r="B18" s="13" t="s">
        <v>92</v>
      </c>
      <c r="C18" s="3" t="s">
        <v>93</v>
      </c>
      <c r="D18" s="3" t="s">
        <v>94</v>
      </c>
      <c r="E18" s="3" t="s">
        <v>95</v>
      </c>
      <c r="F18" s="4" t="s">
        <v>82</v>
      </c>
      <c r="G18" s="4" t="s">
        <v>62</v>
      </c>
      <c r="H18" s="4" t="s">
        <v>43</v>
      </c>
      <c r="I18" s="4" t="s">
        <v>72</v>
      </c>
      <c r="J18" s="5">
        <f t="shared" si="0"/>
        <v>1</v>
      </c>
      <c r="K18" s="6" t="str">
        <f t="shared" si="1"/>
        <v>🟢 PRIORIDADE BAIXA</v>
      </c>
      <c r="L18" s="4" t="s">
        <v>87</v>
      </c>
      <c r="M18" s="4" t="s">
        <v>87</v>
      </c>
    </row>
    <row r="19" spans="2:13" ht="39.75" customHeight="1" x14ac:dyDescent="0.35">
      <c r="B19" s="2" t="s">
        <v>96</v>
      </c>
      <c r="C19" s="8" t="s">
        <v>97</v>
      </c>
      <c r="D19" s="8" t="s">
        <v>98</v>
      </c>
      <c r="E19" s="8" t="s">
        <v>99</v>
      </c>
      <c r="F19" s="4" t="s">
        <v>41</v>
      </c>
      <c r="G19" s="4" t="s">
        <v>71</v>
      </c>
      <c r="H19" s="4" t="s">
        <v>51</v>
      </c>
      <c r="I19" s="4" t="s">
        <v>44</v>
      </c>
      <c r="J19" s="9">
        <f t="shared" si="0"/>
        <v>36</v>
      </c>
      <c r="K19" s="10" t="str">
        <f t="shared" si="1"/>
        <v>🔴 PRIORIDADE ALTA</v>
      </c>
      <c r="L19" s="7" t="s">
        <v>45</v>
      </c>
      <c r="M19" s="7" t="s">
        <v>46</v>
      </c>
    </row>
    <row r="20" spans="2:13" ht="36" customHeight="1" x14ac:dyDescent="0.35">
      <c r="B20" s="13" t="s">
        <v>100</v>
      </c>
      <c r="C20" s="14"/>
      <c r="D20" s="14"/>
      <c r="E20" s="14"/>
      <c r="F20" s="15"/>
      <c r="G20" s="15"/>
      <c r="H20" s="15"/>
      <c r="I20" s="15"/>
      <c r="J20" s="16" t="str">
        <f t="shared" si="0"/>
        <v/>
      </c>
      <c r="K20" s="17" t="str">
        <f t="shared" si="1"/>
        <v/>
      </c>
      <c r="L20" s="18"/>
      <c r="M20" s="18"/>
    </row>
    <row r="21" spans="2:13" ht="36" customHeight="1" x14ac:dyDescent="0.35">
      <c r="B21" s="13" t="s">
        <v>101</v>
      </c>
      <c r="C21" s="19"/>
      <c r="D21" s="19"/>
      <c r="E21" s="19"/>
      <c r="F21" s="15"/>
      <c r="G21" s="15"/>
      <c r="H21" s="15"/>
      <c r="I21" s="15"/>
      <c r="J21" s="20" t="str">
        <f t="shared" si="0"/>
        <v/>
      </c>
      <c r="K21" s="21" t="str">
        <f t="shared" si="1"/>
        <v/>
      </c>
      <c r="L21" s="22"/>
      <c r="M21" s="22"/>
    </row>
    <row r="22" spans="2:13" ht="36" customHeight="1" x14ac:dyDescent="0.35">
      <c r="B22" s="13" t="s">
        <v>102</v>
      </c>
      <c r="C22" s="14"/>
      <c r="D22" s="14"/>
      <c r="E22" s="14"/>
      <c r="F22" s="15"/>
      <c r="G22" s="15"/>
      <c r="H22" s="15"/>
      <c r="I22" s="15"/>
      <c r="J22" s="16" t="str">
        <f t="shared" si="0"/>
        <v/>
      </c>
      <c r="K22" s="17" t="str">
        <f t="shared" si="1"/>
        <v/>
      </c>
      <c r="L22" s="18"/>
      <c r="M22" s="18"/>
    </row>
    <row r="23" spans="2:13" ht="36" customHeight="1" x14ac:dyDescent="0.35">
      <c r="B23" s="13" t="s">
        <v>103</v>
      </c>
      <c r="C23" s="19"/>
      <c r="D23" s="19"/>
      <c r="E23" s="19"/>
      <c r="F23" s="15"/>
      <c r="G23" s="15"/>
      <c r="H23" s="15"/>
      <c r="I23" s="15"/>
      <c r="J23" s="20" t="str">
        <f t="shared" si="0"/>
        <v/>
      </c>
      <c r="K23" s="21" t="str">
        <f t="shared" si="1"/>
        <v/>
      </c>
      <c r="L23" s="22"/>
      <c r="M23" s="22"/>
    </row>
    <row r="24" spans="2:13" ht="36" customHeight="1" x14ac:dyDescent="0.35">
      <c r="B24" s="13" t="s">
        <v>104</v>
      </c>
      <c r="C24" s="14"/>
      <c r="D24" s="14"/>
      <c r="E24" s="14"/>
      <c r="F24" s="15"/>
      <c r="G24" s="15"/>
      <c r="H24" s="15"/>
      <c r="I24" s="15"/>
      <c r="J24" s="16" t="str">
        <f t="shared" si="0"/>
        <v/>
      </c>
      <c r="K24" s="17" t="str">
        <f t="shared" si="1"/>
        <v/>
      </c>
      <c r="L24" s="18"/>
      <c r="M24" s="18"/>
    </row>
    <row r="25" spans="2:13" ht="36" customHeight="1" x14ac:dyDescent="0.35">
      <c r="B25" s="13" t="s">
        <v>105</v>
      </c>
      <c r="C25" s="19"/>
      <c r="D25" s="19"/>
      <c r="E25" s="19"/>
      <c r="F25" s="15"/>
      <c r="G25" s="15"/>
      <c r="H25" s="15"/>
      <c r="I25" s="15"/>
      <c r="J25" s="20" t="str">
        <f t="shared" si="0"/>
        <v/>
      </c>
      <c r="K25" s="21" t="str">
        <f t="shared" si="1"/>
        <v/>
      </c>
      <c r="L25" s="22"/>
      <c r="M25" s="22"/>
    </row>
    <row r="26" spans="2:13" ht="36" customHeight="1" x14ac:dyDescent="0.35">
      <c r="B26" s="13" t="s">
        <v>106</v>
      </c>
      <c r="C26" s="14"/>
      <c r="D26" s="14"/>
      <c r="E26" s="14"/>
      <c r="F26" s="15"/>
      <c r="G26" s="15"/>
      <c r="H26" s="15"/>
      <c r="I26" s="15"/>
      <c r="J26" s="16" t="str">
        <f t="shared" si="0"/>
        <v/>
      </c>
      <c r="K26" s="17" t="str">
        <f t="shared" si="1"/>
        <v/>
      </c>
      <c r="L26" s="18"/>
      <c r="M26" s="18"/>
    </row>
    <row r="27" spans="2:13" ht="36" customHeight="1" x14ac:dyDescent="0.35">
      <c r="B27" s="13" t="s">
        <v>107</v>
      </c>
      <c r="C27" s="19"/>
      <c r="D27" s="19"/>
      <c r="E27" s="19"/>
      <c r="F27" s="15"/>
      <c r="G27" s="15"/>
      <c r="H27" s="15"/>
      <c r="I27" s="15"/>
      <c r="J27" s="20" t="str">
        <f t="shared" si="0"/>
        <v/>
      </c>
      <c r="K27" s="21" t="str">
        <f t="shared" si="1"/>
        <v/>
      </c>
      <c r="L27" s="22"/>
      <c r="M27" s="22"/>
    </row>
  </sheetData>
  <mergeCells count="4">
    <mergeCell ref="B2:M2"/>
    <mergeCell ref="B3:G3"/>
    <mergeCell ref="H3:M3"/>
    <mergeCell ref="B5:M5"/>
  </mergeCells>
  <conditionalFormatting sqref="J8:J50">
    <cfRule type="cellIs" dxfId="2" priority="2" operator="greaterThanOrEqual">
      <formula>10</formula>
    </cfRule>
    <cfRule type="cellIs" dxfId="1" priority="3" operator="between">
      <formula>5</formula>
      <formula>9</formula>
    </cfRule>
    <cfRule type="cellIs" dxfId="0" priority="4" operator="between">
      <formula>1</formula>
      <formula>4</formula>
    </cfRule>
  </conditionalFormatting>
  <dataValidations count="6">
    <dataValidation type="list" allowBlank="1" sqref="F8:F60" xr:uid="{00000000-0002-0000-0100-000000000000}">
      <formula1>"3-Crítico,2-Importante,1-Suporte"</formula1>
      <formula2>0</formula2>
    </dataValidation>
    <dataValidation type="list" allowBlank="1" sqref="G8:G60" xr:uid="{00000000-0002-0000-0100-000001000000}">
      <formula1>"3-Dados Críticos,2-Dados Internos,1-Sem Acesso"</formula1>
      <formula2>0</formula2>
    </dataValidation>
    <dataValidation type="list" allowBlank="1" sqref="H8:H60" xr:uid="{00000000-0002-0000-0100-000002000000}">
      <formula1>"2-Sim,1-Não"</formula1>
      <formula2>0</formula2>
    </dataValidation>
    <dataValidation type="list" allowBlank="1" sqref="I8:I60" xr:uid="{00000000-0002-0000-0100-000003000000}">
      <formula1>"1-ISO 27001,1-SOC2 Type II,1-Ambos,2-Apenas declaração,3-Nenhuma"</formula1>
      <formula2>0</formula2>
    </dataValidation>
    <dataValidation type="list" allowBlank="1" sqref="L8:L60" xr:uid="{00000000-0002-0000-0100-000004000000}">
      <formula1>"✅ OK,⚠️ Pendente,🔴 Não,N/A"</formula1>
      <formula2>0</formula2>
    </dataValidation>
    <dataValidation type="list" allowBlank="1" sqref="M8:M60" xr:uid="{00000000-0002-0000-0100-000005000000}">
      <formula1>"✅ Avaliado,⚠️ Pendente,🔴 Não avaliado,📅 Em curso"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1"/>
  <sheetViews>
    <sheetView showGridLines="0" zoomScaleNormal="100" workbookViewId="0">
      <selection activeCell="G10" sqref="G10"/>
    </sheetView>
  </sheetViews>
  <sheetFormatPr defaultColWidth="8.6328125" defaultRowHeight="14.5" x14ac:dyDescent="0.35"/>
  <cols>
    <col min="1" max="1" width="3" customWidth="1"/>
    <col min="2" max="2" width="8" customWidth="1"/>
    <col min="3" max="3" width="28" customWidth="1"/>
    <col min="4" max="4" width="22" customWidth="1"/>
    <col min="5" max="5" width="27.6328125" customWidth="1"/>
    <col min="6" max="6" width="25.26953125" customWidth="1"/>
    <col min="7" max="8" width="18" customWidth="1"/>
    <col min="9" max="9" width="3" customWidth="1"/>
  </cols>
  <sheetData>
    <row r="2" spans="2:8" ht="31.5" customHeight="1" x14ac:dyDescent="0.35">
      <c r="B2" s="48" t="s">
        <v>108</v>
      </c>
      <c r="C2" s="48"/>
      <c r="D2" s="48"/>
      <c r="E2" s="48"/>
      <c r="F2" s="48"/>
      <c r="G2" s="48"/>
      <c r="H2" s="48"/>
    </row>
    <row r="3" spans="2:8" ht="19.5" customHeight="1" x14ac:dyDescent="0.35">
      <c r="B3" s="49" t="s">
        <v>109</v>
      </c>
      <c r="C3" s="49"/>
      <c r="D3" s="49"/>
      <c r="E3" s="49"/>
      <c r="F3" s="49"/>
      <c r="G3" s="49"/>
      <c r="H3" s="49"/>
    </row>
    <row r="5" spans="2:8" ht="36" customHeight="1" x14ac:dyDescent="0.35">
      <c r="B5" s="23" t="s">
        <v>25</v>
      </c>
      <c r="C5" s="23" t="s">
        <v>110</v>
      </c>
      <c r="D5" s="23" t="s">
        <v>111</v>
      </c>
      <c r="E5" s="23" t="s">
        <v>112</v>
      </c>
      <c r="F5" s="23" t="s">
        <v>113</v>
      </c>
      <c r="G5" s="23" t="s">
        <v>114</v>
      </c>
      <c r="H5" s="23" t="s">
        <v>115</v>
      </c>
    </row>
    <row r="6" spans="2:8" ht="69" customHeight="1" x14ac:dyDescent="0.35">
      <c r="B6" s="11" t="s">
        <v>37</v>
      </c>
      <c r="C6" s="24" t="s">
        <v>38</v>
      </c>
      <c r="D6" s="24" t="s">
        <v>116</v>
      </c>
      <c r="E6" s="24" t="s">
        <v>117</v>
      </c>
      <c r="F6" s="24" t="s">
        <v>118</v>
      </c>
      <c r="G6" s="25" t="s">
        <v>119</v>
      </c>
      <c r="H6" s="7" t="s">
        <v>46</v>
      </c>
    </row>
    <row r="7" spans="2:8" ht="62" customHeight="1" x14ac:dyDescent="0.35">
      <c r="B7" s="2" t="s">
        <v>47</v>
      </c>
      <c r="C7" s="26" t="s">
        <v>48</v>
      </c>
      <c r="D7" s="26" t="s">
        <v>120</v>
      </c>
      <c r="E7" s="27" t="s">
        <v>121</v>
      </c>
      <c r="F7" s="28" t="s">
        <v>122</v>
      </c>
      <c r="G7" s="29" t="s">
        <v>123</v>
      </c>
      <c r="H7" s="12" t="s">
        <v>74</v>
      </c>
    </row>
    <row r="8" spans="2:8" ht="51.75" customHeight="1" x14ac:dyDescent="0.35">
      <c r="B8" s="11" t="s">
        <v>54</v>
      </c>
      <c r="C8" s="24" t="s">
        <v>55</v>
      </c>
      <c r="D8" s="24" t="s">
        <v>124</v>
      </c>
      <c r="E8" s="24" t="s">
        <v>125</v>
      </c>
      <c r="F8" s="24" t="s">
        <v>126</v>
      </c>
      <c r="G8" s="25" t="s">
        <v>127</v>
      </c>
      <c r="H8" s="12" t="s">
        <v>53</v>
      </c>
    </row>
    <row r="9" spans="2:8" ht="66.5" customHeight="1" x14ac:dyDescent="0.35">
      <c r="B9" s="2" t="s">
        <v>68</v>
      </c>
      <c r="C9" s="26" t="s">
        <v>69</v>
      </c>
      <c r="D9" s="26" t="s">
        <v>128</v>
      </c>
      <c r="E9" s="27" t="s">
        <v>129</v>
      </c>
      <c r="F9" s="28" t="s">
        <v>130</v>
      </c>
      <c r="G9" s="30" t="s">
        <v>119</v>
      </c>
      <c r="H9" s="12" t="s">
        <v>74</v>
      </c>
    </row>
    <row r="10" spans="2:8" ht="63" customHeight="1" x14ac:dyDescent="0.35">
      <c r="B10" s="11" t="s">
        <v>75</v>
      </c>
      <c r="C10" s="24" t="s">
        <v>131</v>
      </c>
      <c r="D10" s="24" t="s">
        <v>132</v>
      </c>
      <c r="E10" s="24" t="s">
        <v>133</v>
      </c>
      <c r="F10" s="24" t="s">
        <v>134</v>
      </c>
      <c r="G10" s="25" t="s">
        <v>135</v>
      </c>
      <c r="H10" s="12" t="s">
        <v>53</v>
      </c>
    </row>
    <row r="11" spans="2:8" ht="66.5" customHeight="1" x14ac:dyDescent="0.35">
      <c r="B11" s="11" t="s">
        <v>96</v>
      </c>
      <c r="C11" s="26" t="s">
        <v>97</v>
      </c>
      <c r="D11" s="26" t="s">
        <v>136</v>
      </c>
      <c r="E11" s="26" t="s">
        <v>137</v>
      </c>
      <c r="F11" s="26" t="s">
        <v>138</v>
      </c>
      <c r="G11" s="30" t="s">
        <v>119</v>
      </c>
      <c r="H11" s="7" t="s">
        <v>46</v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18"/>
  <sheetViews>
    <sheetView showGridLines="0" zoomScaleNormal="100" workbookViewId="0">
      <selection activeCell="I17" sqref="I17"/>
    </sheetView>
  </sheetViews>
  <sheetFormatPr defaultColWidth="8.6328125" defaultRowHeight="14.5" x14ac:dyDescent="0.35"/>
  <cols>
    <col min="1" max="1" width="3" customWidth="1"/>
    <col min="2" max="2" width="47.08984375" customWidth="1"/>
    <col min="3" max="3" width="22" customWidth="1"/>
    <col min="4" max="4" width="18.54296875" customWidth="1"/>
    <col min="5" max="5" width="14.1796875" customWidth="1"/>
    <col min="6" max="6" width="3" customWidth="1"/>
  </cols>
  <sheetData>
    <row r="2" spans="2:5" ht="31.5" customHeight="1" x14ac:dyDescent="0.35">
      <c r="B2" s="39" t="s">
        <v>139</v>
      </c>
      <c r="C2" s="39"/>
      <c r="D2" s="39"/>
      <c r="E2" s="39"/>
    </row>
    <row r="4" spans="2:5" ht="25.5" customHeight="1" x14ac:dyDescent="0.35">
      <c r="B4" s="38" t="s">
        <v>140</v>
      </c>
      <c r="C4" s="38"/>
      <c r="D4" s="38"/>
      <c r="E4" s="38"/>
    </row>
    <row r="5" spans="2:5" ht="30" customHeight="1" x14ac:dyDescent="0.35">
      <c r="B5" s="31" t="s">
        <v>141</v>
      </c>
      <c r="C5" s="50">
        <f>COUNTA('🗂️ INVENTÁRIO COMPLETO'!C8:C60)</f>
        <v>12</v>
      </c>
      <c r="D5" s="51"/>
      <c r="E5" s="52"/>
    </row>
    <row r="6" spans="2:5" ht="30" customHeight="1" x14ac:dyDescent="0.35">
      <c r="B6" s="32" t="s">
        <v>142</v>
      </c>
      <c r="C6" s="53">
        <f>COUNTIF('🗂️ INVENTÁRIO COMPLETO'!J8:J60,"&gt;="&amp;10)</f>
        <v>5</v>
      </c>
      <c r="D6" s="54"/>
      <c r="E6" s="55"/>
    </row>
    <row r="7" spans="2:5" ht="30" customHeight="1" x14ac:dyDescent="0.35">
      <c r="B7" s="33" t="s">
        <v>143</v>
      </c>
      <c r="C7" s="56">
        <f>COUNTIFS('🗂️ INVENTÁRIO COMPLETO'!J8:J60,"&gt;="&amp;5,'🗂️ INVENTÁRIO COMPLETO'!J8:J60,"&lt;"&amp;10)</f>
        <v>3</v>
      </c>
      <c r="D7" s="57"/>
      <c r="E7" s="58"/>
    </row>
    <row r="8" spans="2:5" ht="30" customHeight="1" x14ac:dyDescent="0.35">
      <c r="B8" s="34" t="s">
        <v>144</v>
      </c>
      <c r="C8" s="59">
        <f>COUNTIFS('🗂️ INVENTÁRIO COMPLETO'!J8:J60,"&gt;="&amp;1,'🗂️ INVENTÁRIO COMPLETO'!J8:J60,"&lt;"&amp;5)</f>
        <v>4</v>
      </c>
      <c r="D8" s="60"/>
      <c r="E8" s="61"/>
    </row>
    <row r="10" spans="2:5" ht="25.5" customHeight="1" x14ac:dyDescent="0.35">
      <c r="B10" s="38" t="s">
        <v>145</v>
      </c>
      <c r="C10" s="38"/>
      <c r="D10" s="38"/>
      <c r="E10" s="38"/>
    </row>
    <row r="11" spans="2:5" ht="30" customHeight="1" x14ac:dyDescent="0.35">
      <c r="B11" s="34" t="s">
        <v>146</v>
      </c>
      <c r="C11" s="59">
        <f>COUNTIF('🗂️ INVENTÁRIO COMPLETO'!M8:M60,"✅ Avaliado")</f>
        <v>6</v>
      </c>
      <c r="D11" s="60"/>
      <c r="E11" s="61"/>
    </row>
    <row r="12" spans="2:5" ht="30" customHeight="1" x14ac:dyDescent="0.35">
      <c r="B12" s="35" t="s">
        <v>147</v>
      </c>
      <c r="C12" s="62">
        <f>COUNTIF('🗂️ INVENTÁRIO COMPLETO'!M8:M60,"⚠️ Pendente")</f>
        <v>4</v>
      </c>
      <c r="D12" s="63"/>
      <c r="E12" s="64"/>
    </row>
    <row r="13" spans="2:5" ht="30" customHeight="1" x14ac:dyDescent="0.35">
      <c r="B13" s="32" t="s">
        <v>148</v>
      </c>
      <c r="C13" s="53">
        <f>COUNTIF('🗂️ INVENTÁRIO COMPLETO'!M8:M60,"🔴 Não avaliado")</f>
        <v>1</v>
      </c>
      <c r="D13" s="54"/>
      <c r="E13" s="55"/>
    </row>
    <row r="14" spans="2:5" ht="30" customHeight="1" x14ac:dyDescent="0.35">
      <c r="B14" s="34" t="s">
        <v>149</v>
      </c>
      <c r="C14" s="59">
        <f>COUNTIF('🗂️ INVENTÁRIO COMPLETO'!L8:L60,"✅ OK")</f>
        <v>5</v>
      </c>
      <c r="D14" s="60"/>
      <c r="E14" s="61"/>
    </row>
    <row r="15" spans="2:5" ht="30" customHeight="1" x14ac:dyDescent="0.35">
      <c r="B15" s="32" t="s">
        <v>150</v>
      </c>
      <c r="C15" s="53">
        <f>COUNTIF('🗂️ INVENTÁRIO COMPLETO'!L8:L60,"🔴 Não")</f>
        <v>2</v>
      </c>
      <c r="D15" s="54"/>
      <c r="E15" s="55"/>
    </row>
    <row r="17" spans="2:5" ht="25.5" customHeight="1" x14ac:dyDescent="0.35">
      <c r="B17" s="36" t="s">
        <v>151</v>
      </c>
      <c r="C17" s="36"/>
      <c r="D17" s="36"/>
      <c r="E17" s="36"/>
    </row>
    <row r="18" spans="2:5" ht="48" customHeight="1" x14ac:dyDescent="0.35">
      <c r="B18" s="37" t="s">
        <v>152</v>
      </c>
      <c r="C18" s="37"/>
      <c r="D18" s="37"/>
      <c r="E18" s="65"/>
    </row>
  </sheetData>
  <mergeCells count="14">
    <mergeCell ref="B2:E2"/>
    <mergeCell ref="B4:E4"/>
    <mergeCell ref="B17:E17"/>
    <mergeCell ref="B18:E18"/>
    <mergeCell ref="C5:E5"/>
    <mergeCell ref="C6:E6"/>
    <mergeCell ref="C7:E7"/>
    <mergeCell ref="C8:E8"/>
    <mergeCell ref="C11:E11"/>
    <mergeCell ref="C12:E12"/>
    <mergeCell ref="C13:E13"/>
    <mergeCell ref="C14:E14"/>
    <mergeCell ref="C15:E15"/>
    <mergeCell ref="B10:E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📋 INSTRUÇÕES</vt:lpstr>
      <vt:lpstr>🗂️ INVENTÁRIO COMPLETO</vt:lpstr>
      <vt:lpstr>🔴 FORNECEDORES CRÍTICOS</vt:lpstr>
      <vt:lpstr>📊 DASHBOARD TPRM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EMERSON LUIZ SANTOS</cp:lastModifiedBy>
  <cp:revision>0</cp:revision>
  <dcterms:created xsi:type="dcterms:W3CDTF">2026-03-07T11:22:12Z</dcterms:created>
  <dcterms:modified xsi:type="dcterms:W3CDTF">2026-03-12T22:42:45Z</dcterms:modified>
  <dc:language>en-US</dc:language>
</cp:coreProperties>
</file>