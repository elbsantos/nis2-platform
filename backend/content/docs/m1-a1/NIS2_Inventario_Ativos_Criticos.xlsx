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merson.santos\Documents\Pessoal\Consultoria-NIS\NIS-Curso\Modulo 1\Aula-1\"/>
    </mc:Choice>
  </mc:AlternateContent>
  <xr:revisionPtr revIDLastSave="0" documentId="13_ncr:1_{438FF586-B83A-40C9-A27B-26C070E92C2D}" xr6:coauthVersionLast="47" xr6:coauthVersionMax="47" xr10:uidLastSave="{00000000-0000-0000-0000-000000000000}"/>
  <bookViews>
    <workbookView xWindow="28680" yWindow="-120" windowWidth="29040" windowHeight="15720" tabRatio="500" activeTab="3" xr2:uid="{00000000-000D-0000-FFFF-FFFF00000000}"/>
  </bookViews>
  <sheets>
    <sheet name="📋 INSTRUÇÕES" sheetId="1" r:id="rId1"/>
    <sheet name="🖥 HARDWARE" sheetId="2" r:id="rId2"/>
    <sheet name="💾 SOFTWARE" sheetId="3" r:id="rId3"/>
    <sheet name="☁️ CLOUD E SAAS" sheetId="4" r:id="rId4"/>
    <sheet name="📊 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5" l="1"/>
  <c r="C7" i="5"/>
  <c r="C6" i="5"/>
  <c r="C18" i="5"/>
  <c r="C14" i="5"/>
  <c r="C13" i="5"/>
  <c r="C12" i="5"/>
</calcChain>
</file>

<file path=xl/sharedStrings.xml><?xml version="1.0" encoding="utf-8"?>
<sst xmlns="http://schemas.openxmlformats.org/spreadsheetml/2006/main" count="355" uniqueCount="288">
  <si>
    <t>TEMPLATE DE INVENTÁRIO DE ATIVOS CRÍTICOS NIS2</t>
  </si>
  <si>
    <t>Conforme Art. 21.º Diretiva NIS2 · DL 125/2025 · ISO/IEC 27001:2022 (Controlo 5.9)</t>
  </si>
  <si>
    <t>📌  PARA QUE SERVE ESTE INVENTÁRIO?</t>
  </si>
  <si>
    <t>O inventário de ativos é o PONTO DE PARTIDA obrigatório de qualquer programa de cibersegurança NIS2. O auditor do CNCS pedirá este documento como PRIMEIRA evidência de conformidade. Sem saber o que tem, não consegue proteger o que tem.</t>
  </si>
  <si>
    <t>📋  SEPARADORES DISPONÍVEIS</t>
  </si>
  <si>
    <t>🖥  HARDWARE — Servidores, computadores, portáteis, equipamentos de rede, impressoras, dispositivos móveis</t>
  </si>
  <si>
    <t>💾  SOFTWARE — Sistemas operativos, aplicações críticas, bases de dados, licenças</t>
  </si>
  <si>
    <t>☁️  CLOUD E SAAS — Todos os serviços cloud contratados (M365, Google Workspace, ERP cloud, CRM, etc.)</t>
  </si>
  <si>
    <t>🔐  DADOS CRÍTICOS — Repositórios de dados sensíveis, dados pessoais (RGPD), dados de negócio confidenciais</t>
  </si>
  <si>
    <t>👤  ACESSOS E IDENTIDADES — Contas de utilizador, contas de administrador, acessos de terceiros (MSP, fornecedores)</t>
  </si>
  <si>
    <t>⚠️  CLASSIFICAÇÃO DE CRITICIDADE</t>
  </si>
  <si>
    <t>🔴  CRÍTICO — Se este ativo ficar indisponível ou comprometido, a empresa para ou sofre dano grave irreversível</t>
  </si>
  <si>
    <t>🟠  ALTO — Impacto operacional significativo mas a empresa consegue operar em modo degradado por tempo limitado</t>
  </si>
  <si>
    <t>🟡  MÉDIO — Inconveniente operacional relevante mas impacto limitado e controlável</t>
  </si>
  <si>
    <t>⚪  BAIXO — Impacto mínimo. A empresa funciona normalmente sem este ativo por períodos alargados</t>
  </si>
  <si>
    <t>📚  INSTRUÇÕES DE PREENCHIMENTO</t>
  </si>
  <si>
    <t>1. Preencha todos os campos — as células com fundo AMARELO são obrigatórias para conformidade NIS2</t>
  </si>
  <si>
    <t>2. Use os menus dropdown nas colunas de Criticidade e Estado para garantir consistência</t>
  </si>
  <si>
    <t>3. Atribua um RESPONSÁVEL nomeado a cada ativo crítico — não use 'Departamento de TI' genérico</t>
  </si>
  <si>
    <t>4. Reveja e atualize este inventário quando: adquirir novos ativos, alterar fornecedores cloud, mudar colaboradores-chave</t>
  </si>
  <si>
    <t>5. Este documento é EVIDÊNCIA para auditoria CNCS — mantenha a data de última atualização sempre atual</t>
  </si>
  <si>
    <t>Versão 1.0 — 2025  |  NIS2 para PMEs em Portugal  |  Baseado em ISO/IEC 27001:2022 Controlo 5.9</t>
  </si>
  <si>
    <t>INVENTÁRIO DE ATIVOS — HARDWARE</t>
  </si>
  <si>
    <t>Empresa: [Nome da Empresa]</t>
  </si>
  <si>
    <t>Última Atualização: ___/___/______  |  Responsável: ___________________</t>
  </si>
  <si>
    <t>ID</t>
  </si>
  <si>
    <t>Nome / Descrição</t>
  </si>
  <si>
    <t>Tipo de Dispositivo</t>
  </si>
  <si>
    <t>Fabricante / Modelo</t>
  </si>
  <si>
    <t>Nº Série / Asset Tag</t>
  </si>
  <si>
    <t>Localização Física</t>
  </si>
  <si>
    <t>Sistema Operativo</t>
  </si>
  <si>
    <t>Criticidade</t>
  </si>
  <si>
    <t>Responsável</t>
  </si>
  <si>
    <t>Observações</t>
  </si>
  <si>
    <t>001</t>
  </si>
  <si>
    <t>Servidor Ficheiros Principal</t>
  </si>
  <si>
    <t>Servidor</t>
  </si>
  <si>
    <t>Dell PowerEdge R750 / SN: 5CG1234567</t>
  </si>
  <si>
    <t>5CG1234567</t>
  </si>
  <si>
    <t>Sala de Servidores — Rack 2</t>
  </si>
  <si>
    <t>Windows Server 2022 (21H2)</t>
  </si>
  <si>
    <t>🔴 CRÍTICO</t>
  </si>
  <si>
    <t>João Silva (TI)</t>
  </si>
  <si>
    <t>Backup diário 23h. MFA admin ativo.</t>
  </si>
  <si>
    <t>002</t>
  </si>
  <si>
    <t>Servidor ERP</t>
  </si>
  <si>
    <t>HP ProLiant DL360 Gen10</t>
  </si>
  <si>
    <t>HP240987654</t>
  </si>
  <si>
    <t>Windows Server 2019</t>
  </si>
  <si>
    <t>Microsoft Dynamics 365 local. Patch mensal.</t>
  </si>
  <si>
    <t>003</t>
  </si>
  <si>
    <t>Firewall Principal</t>
  </si>
  <si>
    <t>Equipamento de Rede</t>
  </si>
  <si>
    <t>Sophos XGS 107 / FW-001</t>
  </si>
  <si>
    <t>SFW-2024-0012</t>
  </si>
  <si>
    <t>Sala de Servidores — Rack 1</t>
  </si>
  <si>
    <t>Sophos OS v20.0</t>
  </si>
  <si>
    <t>NGFW com IPS ativo. Revisão de regras trimestral.</t>
  </si>
  <si>
    <t>004</t>
  </si>
  <si>
    <t>Switch Core</t>
  </si>
  <si>
    <t>Cisco Catalyst 9200L / SW-CORE</t>
  </si>
  <si>
    <t>FOC2312X012</t>
  </si>
  <si>
    <t>IOS XE 17.9</t>
  </si>
  <si>
    <t>🟠 ALTO</t>
  </si>
  <si>
    <t>VLAN configuradas: Produção, Office, IoT, Gestão.</t>
  </si>
  <si>
    <t>005</t>
  </si>
  <si>
    <t>Portátil — Direção</t>
  </si>
  <si>
    <t>Portátil</t>
  </si>
  <si>
    <t>Dell Latitude 5530 / LAT-001</t>
  </si>
  <si>
    <t>DL-2023-0001</t>
  </si>
  <si>
    <t>Escritório — Direção</t>
  </si>
  <si>
    <t>Windows 11 Pro (23H2)</t>
  </si>
  <si>
    <t>Ana Costa (Direção)</t>
  </si>
  <si>
    <t>BitLocker ativo. Intune gerido. MFA M365.</t>
  </si>
  <si>
    <t>006</t>
  </si>
  <si>
    <t>NAS Backup Local</t>
  </si>
  <si>
    <t>Armazenamento</t>
  </si>
  <si>
    <t>Synology DS1821+ / NAS-001</t>
  </si>
  <si>
    <t>SYN2024001</t>
  </si>
  <si>
    <t>Sala de Servidores — Rack 3</t>
  </si>
  <si>
    <t>DSM 7.2</t>
  </si>
  <si>
    <t>Backup 3-2-1. Hyper Backup para Azure. Imutabilidade ativa.</t>
  </si>
  <si>
    <t>007</t>
  </si>
  <si>
    <t>UPS — Sala de Servidores</t>
  </si>
  <si>
    <t>Infraestrutura</t>
  </si>
  <si>
    <t>APC Smart-UPS 3000VA / UPS-001</t>
  </si>
  <si>
    <t>AS1234567</t>
  </si>
  <si>
    <t>Sala de Servidores</t>
  </si>
  <si>
    <t>Firmware v9.7</t>
  </si>
  <si>
    <t>Autonomia: 45 min. Teste mensal. Manutenção anual.</t>
  </si>
  <si>
    <t>008</t>
  </si>
  <si>
    <t>Câmera de Segurança — Entrada</t>
  </si>
  <si>
    <t>IoT</t>
  </si>
  <si>
    <t>Axis P3245-V / CAM-001</t>
  </si>
  <si>
    <t>ACCC8E123456</t>
  </si>
  <si>
    <t>Receção</t>
  </si>
  <si>
    <t>AXIS OS 10.9 (atualizar!)</t>
  </si>
  <si>
    <t>🟡 MÉDIO</t>
  </si>
  <si>
    <t>Recepção</t>
  </si>
  <si>
    <t>VLAN IoT isolada. Password padrão ALTERADA. Firmware pendente.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</si>
  <si>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</si>
  <si>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</si>
  <si>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</si>
  <si>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</si>
  <si>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</si>
  <si>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</si>
  <si>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</si>
  <si>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</si>
  <si>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</si>
  <si>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</si>
  <si>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INVENTÁRIO DE ATIVOS — SOFTWARE E LICENÇAS</t>
  </si>
  <si>
    <t>Nome da Aplicação</t>
  </si>
  <si>
    <t>Categoria</t>
  </si>
  <si>
    <t>Versão Atual</t>
  </si>
  <si>
    <t>Fim de Suporte</t>
  </si>
  <si>
    <t>Instalado em (sistema)</t>
  </si>
  <si>
    <t>Licença / Nº Utilizadores</t>
  </si>
  <si>
    <t>Observações / Patches Pendentes</t>
  </si>
  <si>
    <t>SW001</t>
  </si>
  <si>
    <t>Microsoft Dynamics 365</t>
  </si>
  <si>
    <t>ERP</t>
  </si>
  <si>
    <t>v2024.1.0</t>
  </si>
  <si>
    <t>Suporte ativo</t>
  </si>
  <si>
    <t>SRV-ERP-001</t>
  </si>
  <si>
    <t>365 Business Premium — 45 licenças</t>
  </si>
  <si>
    <t>Patch mensal (Patch Tuesday). Backup diário BD.</t>
  </si>
  <si>
    <t>SW002</t>
  </si>
  <si>
    <t>Windows Server 2022</t>
  </si>
  <si>
    <t>21H2 (Build 20348.2340)</t>
  </si>
  <si>
    <t>Okt 2031</t>
  </si>
  <si>
    <t>SRV-FILES-001, SRV-ERP-001</t>
  </si>
  <si>
    <t>OEM — 2 licenças</t>
  </si>
  <si>
    <t>KB5034765 pendente (CVSS 9.3 — aplicar urgente!)</t>
  </si>
  <si>
    <t>SW003</t>
  </si>
  <si>
    <t>Microsoft 365 Business Premium</t>
  </si>
  <si>
    <t>Suite Produtividade</t>
  </si>
  <si>
    <t>Versão corrente (cloud)</t>
  </si>
  <si>
    <t>Todos os portáteis + cloud</t>
  </si>
  <si>
    <t>Business Premium — 45 licenças</t>
  </si>
  <si>
    <t>MFA ativo em 100% contas. Defender incluído.</t>
  </si>
  <si>
    <t>SW004</t>
  </si>
  <si>
    <t>SQL Server 2022</t>
  </si>
  <si>
    <t>Base de Dados</t>
  </si>
  <si>
    <t>16.0.4100.1</t>
  </si>
  <si>
    <t>Jul 2033</t>
  </si>
  <si>
    <t>Developer Edition + 5 CAL</t>
  </si>
  <si>
    <t>SA account desativado. Auditing ativo.</t>
  </si>
  <si>
    <t>SW005</t>
  </si>
  <si>
    <t>Sophos Intercept X (EDR)</t>
  </si>
  <si>
    <t>Antivírus / EDR</t>
  </si>
  <si>
    <t>v2024.1</t>
  </si>
  <si>
    <t>Todos os endpoints (45)</t>
  </si>
  <si>
    <t>45 licenças — renovação dez 2025</t>
  </si>
  <si>
    <t>Definições atualizadas. Atenção: renovação em Dez.</t>
  </si>
  <si>
    <t>SW006</t>
  </si>
  <si>
    <t>Veeam Backup &amp; Replication</t>
  </si>
  <si>
    <t>Backup</t>
  </si>
  <si>
    <t>v12.1</t>
  </si>
  <si>
    <t>Jan 2026</t>
  </si>
  <si>
    <t>SRV-FILES-001</t>
  </si>
  <si>
    <t>1 socket license</t>
  </si>
  <si>
    <t>Backup para NAS + Azure Blob. Imutabilidade 30 dias.</t>
  </si>
  <si>
    <t>SW007</t>
  </si>
  <si>
    <t>Adobe Acrobat Pro</t>
  </si>
  <si>
    <t>Produtividade</t>
  </si>
  <si>
    <t>2024.2</t>
  </si>
  <si>
    <t>3 portáteis (Direção, Comercial)</t>
  </si>
  <si>
    <t>3 licenças — cloud</t>
  </si>
  <si>
    <t>Ana Costa (Admin)</t>
  </si>
  <si>
    <t>Patch automático ativo.</t>
  </si>
  <si>
    <t>SW008</t>
  </si>
  <si>
    <t>AutoCAD 2024</t>
  </si>
  <si>
    <t>Engenharia/CAD</t>
  </si>
  <si>
    <t>2024.1.3</t>
  </si>
  <si>
    <t>Mar 2027</t>
  </si>
  <si>
    <t>PC-ENG-001, PC-ENG-002</t>
  </si>
  <si>
    <t>2 licenças — subscription</t>
  </si>
  <si>
    <t>Carlos Pereira (Eng.)</t>
  </si>
  <si>
    <t>Desenhos em servidor protegido. Backup incluído.</t>
  </si>
  <si>
    <t>SW009</t>
  </si>
  <si>
    <t>SW010</t>
  </si>
  <si>
    <t>SW011</t>
  </si>
  <si>
    <t>SW012</t>
  </si>
  <si>
    <t>SW013</t>
  </si>
  <si>
    <t>SW014</t>
  </si>
  <si>
    <t>SW015</t>
  </si>
  <si>
    <t>SW016</t>
  </si>
  <si>
    <t>SW017</t>
  </si>
  <si>
    <t>SW018</t>
  </si>
  <si>
    <t>INVENTÁRIO DE ATIVOS — SERVIÇOS CLOUD E SAAS</t>
  </si>
  <si>
    <t>Nome do Serviço</t>
  </si>
  <si>
    <t>Fornecedor</t>
  </si>
  <si>
    <t>Tipo (IaaS/PaaS/SaaS)</t>
  </si>
  <si>
    <t>URL / Portal Admin</t>
  </si>
  <si>
    <t>Dados Armazenados</t>
  </si>
  <si>
    <t>Renovação / Custo Anual</t>
  </si>
  <si>
    <t>Cláusulas NIS2 no Contrato?</t>
  </si>
  <si>
    <t>CL001</t>
  </si>
  <si>
    <t>Microsoft</t>
  </si>
  <si>
    <t>SaaS</t>
  </si>
  <si>
    <t>admin.microsoft.com</t>
  </si>
  <si>
    <t>E-mail, ficheiros OneDrive, Teams, SharePoint</t>
  </si>
  <si>
    <t>€1.440/ano (45×€32)</t>
  </si>
  <si>
    <t>✅ Sim — DPA Microsoft incluído no contrato</t>
  </si>
  <si>
    <t>CL002</t>
  </si>
  <si>
    <t>Azure Backup (Blob Storage)</t>
  </si>
  <si>
    <t>IaaS</t>
  </si>
  <si>
    <t>portal.azure.com</t>
  </si>
  <si>
    <t>Backups encriptados dos servidores e NAS</t>
  </si>
  <si>
    <t>€240/ano (€20/mês)</t>
  </si>
  <si>
    <t>✅ Sim — DPA Microsoft. Imutabilidade 30 dias ativa.</t>
  </si>
  <si>
    <t>CL003</t>
  </si>
  <si>
    <t>Salesforce CRM</t>
  </si>
  <si>
    <t>Salesforce</t>
  </si>
  <si>
    <t>empresa.salesforce.com</t>
  </si>
  <si>
    <t>Dados de clientes (nome, contacto, negócios)</t>
  </si>
  <si>
    <t>€2.400/ano (10×€240)</t>
  </si>
  <si>
    <t>Ana Costa (Comercial)</t>
  </si>
  <si>
    <t>⚠️ Pendente — DPA necessário. Verificar em Dez 2025.</t>
  </si>
  <si>
    <t>CL004</t>
  </si>
  <si>
    <t>Sage 50cloud</t>
  </si>
  <si>
    <t>Sage</t>
  </si>
  <si>
    <t>sage.pt/my-account</t>
  </si>
  <si>
    <t>Dados contabilísticos, faturação, IBAN fornecedores</t>
  </si>
  <si>
    <t>€480/ano</t>
  </si>
  <si>
    <t>Sofia Melo (CFO)</t>
  </si>
  <si>
    <t>⚠️ Pendente — Solicitar DPA ao fornecedor.</t>
  </si>
  <si>
    <t>CL005</t>
  </si>
  <si>
    <t>Google Workspace (Gmail pessoal — NÃO USAR)</t>
  </si>
  <si>
    <t>Google</t>
  </si>
  <si>
    <t>gmail.com — USO PESSOAL</t>
  </si>
  <si>
    <t>NENHUM dado empresarial deve estar aqui</t>
  </si>
  <si>
    <t>€0 (uso não autorizado)</t>
  </si>
  <si>
    <t>❌ Sem contrato empresarial — risco de fuga de dados</t>
  </si>
  <si>
    <t>CL006</t>
  </si>
  <si>
    <t>Dropbox Business</t>
  </si>
  <si>
    <t>Dropbox</t>
  </si>
  <si>
    <t>dropbox.com/business</t>
  </si>
  <si>
    <t>Documentos partilhados com parceiros</t>
  </si>
  <si>
    <t>€300/ano (5 utilizadores)</t>
  </si>
  <si>
    <t>⚠️ Rever — substituir por SharePoint (já pago no M365).</t>
  </si>
  <si>
    <t>CL007</t>
  </si>
  <si>
    <t>DocuSign</t>
  </si>
  <si>
    <t>app.docusign.com</t>
  </si>
  <si>
    <t>Contratos assinados digitalmente</t>
  </si>
  <si>
    <t>✅ Sim — DPA incluído. Dados retidos 10 anos.</t>
  </si>
  <si>
    <t>CL008</t>
  </si>
  <si>
    <t>Zoom Business</t>
  </si>
  <si>
    <t>Zoom</t>
  </si>
  <si>
    <t>zoom.us/account</t>
  </si>
  <si>
    <t>Gravações de reuniões (atenção: dados de clientes!)</t>
  </si>
  <si>
    <t>€180/ano (5 licenças)</t>
  </si>
  <si>
    <t>⚠️ Pendente — Desativar gravação automática ou obter DPA.</t>
  </si>
  <si>
    <t>CL009</t>
  </si>
  <si>
    <t>CL010</t>
  </si>
  <si>
    <t>CL011</t>
  </si>
  <si>
    <t>CL012</t>
  </si>
  <si>
    <t>CL013</t>
  </si>
  <si>
    <t>CL014</t>
  </si>
  <si>
    <t>CL015</t>
  </si>
  <si>
    <t>CL016</t>
  </si>
  <si>
    <t>DASHBOARD — RESUMO DO INVENTÁRIO DE ATIVOS CRÍTICOS</t>
  </si>
  <si>
    <t>📊  RESUMO GERAL</t>
  </si>
  <si>
    <t>Total de Ativos Hardware Registados</t>
  </si>
  <si>
    <t>Total de Ativos Software Registados</t>
  </si>
  <si>
    <t>Total de Serviços Cloud/SaaS Registados</t>
  </si>
  <si>
    <t>📈  ANÁLISE DE CRITICIDADE (HARDWARE)</t>
  </si>
  <si>
    <t>Ativos CRÍTICOS (Hardware)</t>
  </si>
  <si>
    <t>Ativos ALTO risco (Hardware)</t>
  </si>
  <si>
    <t>Ativos MÉDIO risco (Hardware)</t>
  </si>
  <si>
    <t>📋  ALERTAS E AÇÕES PENDENTES</t>
  </si>
  <si>
    <t>Serviços Cloud SEM Cláusulas NIS2</t>
  </si>
  <si>
    <t>⚠️  Ação Recomendada: Revisar todos os itens marcados com ⚠️ nos separadores de inventário e obter DPA/cláusulas NIS2 nos contratos em falta.</t>
  </si>
  <si>
    <t>CL017</t>
  </si>
  <si>
    <t>CL018</t>
  </si>
  <si>
    <t>CL019</t>
  </si>
  <si>
    <t>CL020</t>
  </si>
  <si>
    <t>CL021</t>
  </si>
  <si>
    <t>CL022</t>
  </si>
  <si>
    <t>CL023</t>
  </si>
  <si>
    <t>CL024</t>
  </si>
  <si>
    <t>CL025</t>
  </si>
  <si>
    <t>CL026</t>
  </si>
  <si>
    <t>CL027</t>
  </si>
  <si>
    <t>CL028</t>
  </si>
  <si>
    <t>CL029</t>
  </si>
  <si>
    <t>CL030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</si>
</sst>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color rgb="FF1F3864"/>
      <name val="Arial"/>
      <charset val="1"/>
    </font>
    <font>
      <sz val="10"/>
      <color rgb="FF3D3D3D"/>
      <name val="Arial"/>
      <charset val="1"/>
    </font>
    <font>
      <b/>
      <sz val="11"/>
      <color rgb="FF7B5000"/>
      <name val="Arial"/>
      <charset val="1"/>
    </font>
    <font>
      <i/>
      <sz val="9"/>
      <color rgb="FF7F7F7F"/>
      <name val="Arial"/>
      <charset val="1"/>
    </font>
    <font>
      <b/>
      <sz val="13"/>
      <color rgb="FFFFFFFF"/>
      <name val="Arial"/>
      <charset val="1"/>
    </font>
    <font>
      <b/>
      <sz val="10"/>
      <color rgb="FF1F3864"/>
      <name val="Arial"/>
      <charset val="1"/>
    </font>
    <font>
      <b/>
      <sz val="10"/>
      <color rgb="FF9B0000"/>
      <name val="Arial"/>
      <charset val="1"/>
    </font>
    <font>
      <b/>
      <sz val="9"/>
      <color rgb="FFFFFFFF"/>
      <name val="Arial"/>
      <charset val="1"/>
    </font>
    <font>
      <sz val="9"/>
      <color rgb="FF3D3D3D"/>
      <name val="Arial"/>
      <charset val="1"/>
    </font>
    <font>
      <b/>
      <sz val="9"/>
      <color rgb="FF9B0000"/>
      <name val="Arial"/>
      <charset val="1"/>
    </font>
    <font>
      <b/>
      <sz val="9"/>
      <color rgb="FFC55A11"/>
      <name val="Arial"/>
      <charset val="1"/>
    </font>
    <font>
      <b/>
      <sz val="9"/>
      <color rgb="FF7B5000"/>
      <name val="Arial"/>
      <charset val="1"/>
    </font>
    <font>
      <sz val="9"/>
      <color rgb="FF7F7F7F"/>
      <name val="Arial"/>
      <charset val="1"/>
    </font>
    <font>
      <sz val="9"/>
      <color rgb="FF1A5C38"/>
      <name val="Arial"/>
      <charset val="1"/>
    </font>
    <font>
      <sz val="9"/>
      <color rgb="FF7B5000"/>
      <name val="Arial"/>
      <charset val="1"/>
    </font>
    <font>
      <b/>
      <sz val="14"/>
      <color rgb="FF1F3864"/>
      <name val="Arial"/>
      <charset val="1"/>
    </font>
    <font>
      <b/>
      <sz val="11"/>
      <color rgb="FF9B0000"/>
      <name val="Arial"/>
      <charset val="1"/>
    </font>
    <font>
      <i/>
      <sz val="9"/>
      <color rgb="FF7B5000"/>
      <name val="Arial"/>
      <charset val="1"/>
    </font>
    <font>
      <b/>
      <sz val="9"/>
      <color rgb="FF9B0000"/>
      <name val="Arial"/>
      <family val="2"/>
    </font>
    <font>
      <b/>
      <sz val="10"/>
      <color rgb="FF1F3864"/>
      <name val="Arial"/>
      <family val="2"/>
    </font>
    <font>
      <b/>
      <sz val="10"/>
      <color rgb="FF9B0000"/>
      <name val="Arial"/>
      <family val="2"/>
    </font>
    <font>
      <sz val="8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4F4F4"/>
      </patternFill>
    </fill>
    <fill>
      <patternFill patternType="solid">
        <fgColor rgb="FFFFFFFF"/>
        <bgColor rgb="FFF4F4F4"/>
      </patternFill>
    </fill>
    <fill>
      <patternFill patternType="solid">
        <fgColor rgb="FFFFF3CD"/>
        <bgColor rgb="FFFDECEA"/>
      </patternFill>
    </fill>
    <fill>
      <patternFill patternType="solid">
        <fgColor rgb="FFFDECEA"/>
        <bgColor rgb="FFF4F4F4"/>
      </patternFill>
    </fill>
    <fill>
      <patternFill patternType="solid">
        <fgColor rgb="FFF4F4F4"/>
        <bgColor rgb="FFEBF3FB"/>
      </patternFill>
    </fill>
    <fill>
      <patternFill patternType="solid">
        <fgColor rgb="FFFCE4D6"/>
        <bgColor rgb="FFFDECEA"/>
      </patternFill>
    </fill>
    <fill>
      <patternFill patternType="solid">
        <fgColor rgb="FFE2F0EA"/>
        <bgColor rgb="FFEBF3FB"/>
      </patternFill>
    </fill>
  </fills>
  <borders count="8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07A00"/>
      </left>
      <right/>
      <top style="thin">
        <color rgb="FFC07A00"/>
      </top>
      <bottom style="thin">
        <color rgb="FFC07A00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07A00"/>
      </left>
      <right style="thin">
        <color rgb="FFC07A00"/>
      </right>
      <top style="thin">
        <color rgb="FFC07A00"/>
      </top>
      <bottom style="thin">
        <color rgb="FFC07A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0" fillId="2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left" vertical="center" wrapText="1"/>
    </xf>
    <xf numFmtId="0" fontId="13" fillId="9" borderId="2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/>
    </xf>
    <xf numFmtId="0" fontId="15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/>
    </xf>
    <xf numFmtId="0" fontId="16" fillId="10" borderId="2" xfId="0" applyFont="1" applyFill="1" applyBorder="1" applyAlignment="1">
      <alignment horizontal="left" vertical="center" wrapText="1"/>
    </xf>
    <xf numFmtId="0" fontId="17" fillId="6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18" fillId="7" borderId="3" xfId="0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/>
    </xf>
    <xf numFmtId="0" fontId="18" fillId="9" borderId="3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19" fillId="7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/>
    </xf>
    <xf numFmtId="0" fontId="18" fillId="5" borderId="3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left" vertical="center"/>
    </xf>
    <xf numFmtId="0" fontId="9" fillId="7" borderId="0" xfId="0" applyFont="1" applyFill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18" fillId="9" borderId="6" xfId="0" applyFont="1" applyFill="1" applyBorder="1" applyAlignment="1">
      <alignment horizontal="center" vertical="center"/>
    </xf>
    <xf numFmtId="0" fontId="18" fillId="9" borderId="5" xfId="0" applyFont="1" applyFill="1" applyBorder="1" applyAlignment="1">
      <alignment horizontal="center" vertical="center"/>
    </xf>
    <xf numFmtId="0" fontId="18" fillId="7" borderId="6" xfId="0" applyFont="1" applyFill="1" applyBorder="1" applyAlignment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left" vertical="center" wrapText="1"/>
    </xf>
    <xf numFmtId="0" fontId="20" fillId="6" borderId="7" xfId="0" applyFont="1" applyFill="1" applyBorder="1" applyAlignment="1">
      <alignment horizontal="left" vertical="center" wrapText="1"/>
    </xf>
    <xf numFmtId="0" fontId="22" fillId="6" borderId="0" xfId="0" applyFont="1" applyFill="1" applyAlignment="1">
      <alignment horizontal="left" vertical="center"/>
    </xf>
    <xf numFmtId="0" fontId="23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B0000"/>
      <rgbColor rgb="FF1A5C38"/>
      <rgbColor rgb="FF000080"/>
      <rgbColor rgb="FFC07A00"/>
      <rgbColor rgb="FF800080"/>
      <rgbColor rgb="FF008080"/>
      <rgbColor rgb="FFCCCCCC"/>
      <rgbColor rgb="FF7F7F7F"/>
      <rgbColor rgb="FF9999FF"/>
      <rgbColor rgb="FF993366"/>
      <rgbColor rgb="FFFFF3CD"/>
      <rgbColor rgb="FFE2F0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F4F4F4"/>
      <rgbColor rgb="FFFDECEA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7B50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8"/>
  <sheetViews>
    <sheetView showGridLines="0" zoomScaleNormal="100" workbookViewId="0"/>
  </sheetViews>
  <sheetFormatPr defaultColWidth="8.6328125" defaultRowHeight="14.5" x14ac:dyDescent="0.35"/>
  <cols>
    <col min="1" max="1" width="3" customWidth="1"/>
    <col min="2" max="2" width="55" customWidth="1"/>
    <col min="3" max="3" width="45" customWidth="1"/>
  </cols>
  <sheetData>
    <row r="2" spans="2:3" ht="39.75" customHeight="1" x14ac:dyDescent="0.35">
      <c r="B2" s="33" t="s">
        <v>0</v>
      </c>
      <c r="C2" s="33"/>
    </row>
    <row r="3" spans="2:3" ht="21.75" customHeight="1" x14ac:dyDescent="0.35">
      <c r="B3" s="34" t="s">
        <v>1</v>
      </c>
      <c r="C3" s="34"/>
    </row>
    <row r="5" spans="2:3" ht="24" customHeight="1" x14ac:dyDescent="0.35">
      <c r="B5" s="31" t="s">
        <v>2</v>
      </c>
      <c r="C5" s="31"/>
    </row>
    <row r="6" spans="2:3" ht="51.75" customHeight="1" x14ac:dyDescent="0.35">
      <c r="B6" s="29" t="s">
        <v>3</v>
      </c>
      <c r="C6" s="29"/>
    </row>
    <row r="8" spans="2:3" ht="24" customHeight="1" x14ac:dyDescent="0.35">
      <c r="B8" s="31" t="s">
        <v>4</v>
      </c>
      <c r="C8" s="31"/>
    </row>
    <row r="9" spans="2:3" ht="25.5" customHeight="1" x14ac:dyDescent="0.35">
      <c r="B9" s="29" t="s">
        <v>5</v>
      </c>
      <c r="C9" s="29"/>
    </row>
    <row r="10" spans="2:3" ht="25.5" customHeight="1" x14ac:dyDescent="0.35">
      <c r="B10" s="29" t="s">
        <v>6</v>
      </c>
      <c r="C10" s="29"/>
    </row>
    <row r="11" spans="2:3" ht="25.5" customHeight="1" x14ac:dyDescent="0.35">
      <c r="B11" s="29" t="s">
        <v>7</v>
      </c>
      <c r="C11" s="29"/>
    </row>
    <row r="12" spans="2:3" ht="25.5" customHeight="1" x14ac:dyDescent="0.35">
      <c r="B12" s="29" t="s">
        <v>8</v>
      </c>
      <c r="C12" s="29"/>
    </row>
    <row r="13" spans="2:3" ht="25.5" customHeight="1" x14ac:dyDescent="0.35">
      <c r="B13" s="29" t="s">
        <v>9</v>
      </c>
      <c r="C13" s="29"/>
    </row>
    <row r="15" spans="2:3" ht="24" customHeight="1" x14ac:dyDescent="0.35">
      <c r="B15" s="32" t="s">
        <v>10</v>
      </c>
      <c r="C15" s="32"/>
    </row>
    <row r="16" spans="2:3" ht="25.5" customHeight="1" x14ac:dyDescent="0.35">
      <c r="B16" s="29" t="s">
        <v>11</v>
      </c>
      <c r="C16" s="29"/>
    </row>
    <row r="17" spans="2:3" ht="25.5" customHeight="1" x14ac:dyDescent="0.35">
      <c r="B17" s="29" t="s">
        <v>12</v>
      </c>
      <c r="C17" s="29"/>
    </row>
    <row r="18" spans="2:3" ht="25.5" customHeight="1" x14ac:dyDescent="0.35">
      <c r="B18" s="29" t="s">
        <v>13</v>
      </c>
      <c r="C18" s="29"/>
    </row>
    <row r="19" spans="2:3" ht="25.5" customHeight="1" x14ac:dyDescent="0.35">
      <c r="B19" s="29" t="s">
        <v>14</v>
      </c>
      <c r="C19" s="29"/>
    </row>
    <row r="21" spans="2:3" ht="24" customHeight="1" x14ac:dyDescent="0.35">
      <c r="B21" s="31" t="s">
        <v>15</v>
      </c>
      <c r="C21" s="31"/>
    </row>
    <row r="22" spans="2:3" ht="24" customHeight="1" x14ac:dyDescent="0.35">
      <c r="B22" s="29" t="s">
        <v>16</v>
      </c>
      <c r="C22" s="29"/>
    </row>
    <row r="23" spans="2:3" ht="24" customHeight="1" x14ac:dyDescent="0.35">
      <c r="B23" s="29" t="s">
        <v>17</v>
      </c>
      <c r="C23" s="29"/>
    </row>
    <row r="24" spans="2:3" ht="24" customHeight="1" x14ac:dyDescent="0.35">
      <c r="B24" s="29" t="s">
        <v>18</v>
      </c>
      <c r="C24" s="29"/>
    </row>
    <row r="25" spans="2:3" ht="24" customHeight="1" x14ac:dyDescent="0.35">
      <c r="B25" s="29" t="s">
        <v>19</v>
      </c>
      <c r="C25" s="29"/>
    </row>
    <row r="26" spans="2:3" ht="24" customHeight="1" x14ac:dyDescent="0.35">
      <c r="B26" s="29" t="s">
        <v>20</v>
      </c>
      <c r="C26" s="29"/>
    </row>
    <row r="28" spans="2:3" x14ac:dyDescent="0.35">
      <c r="B28" s="30" t="s">
        <v>21</v>
      </c>
      <c r="C28" s="30"/>
    </row>
  </sheetData>
  <mergeCells count="22">
    <mergeCell ref="B2:C2"/>
    <mergeCell ref="B3:C3"/>
    <mergeCell ref="B5:C5"/>
    <mergeCell ref="B6:C6"/>
    <mergeCell ref="B8:C8"/>
    <mergeCell ref="B9:C9"/>
    <mergeCell ref="B10:C10"/>
    <mergeCell ref="B11:C11"/>
    <mergeCell ref="B12:C12"/>
    <mergeCell ref="B13:C13"/>
    <mergeCell ref="B15:C15"/>
    <mergeCell ref="B16:C16"/>
    <mergeCell ref="B17:C17"/>
    <mergeCell ref="B18:C18"/>
    <mergeCell ref="B19:C19"/>
    <mergeCell ref="B26:C26"/>
    <mergeCell ref="B28:C28"/>
    <mergeCell ref="B21:C21"/>
    <mergeCell ref="B22:C22"/>
    <mergeCell ref="B23:C23"/>
    <mergeCell ref="B24:C24"/>
    <mergeCell ref="B25:C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3"/>
  <sheetViews>
    <sheetView showGridLines="0" topLeftCell="A2" zoomScaleNormal="100" workbookViewId="0">
      <selection activeCell="I13" sqref="I13"/>
    </sheetView>
  </sheetViews>
  <sheetFormatPr defaultColWidth="8.6328125" defaultRowHeight="14.5" x14ac:dyDescent="0.35"/>
  <cols>
    <col min="1" max="1" width="3" customWidth="1"/>
    <col min="2" max="2" width="8" customWidth="1"/>
    <col min="3" max="3" width="28" customWidth="1"/>
    <col min="4" max="4" width="20" customWidth="1"/>
    <col min="5" max="5" width="18" customWidth="1"/>
    <col min="6" max="6" width="16" customWidth="1"/>
    <col min="7" max="7" width="18" customWidth="1"/>
    <col min="8" max="8" width="14" customWidth="1"/>
    <col min="9" max="10" width="20" customWidth="1"/>
    <col min="11" max="11" width="20.54296875" customWidth="1"/>
  </cols>
  <sheetData>
    <row r="2" spans="2:11" ht="33.75" customHeight="1" x14ac:dyDescent="0.35">
      <c r="B2" s="26" t="s">
        <v>22</v>
      </c>
      <c r="C2" s="26"/>
      <c r="D2" s="26"/>
      <c r="E2" s="26"/>
      <c r="F2" s="26"/>
      <c r="G2" s="26"/>
      <c r="H2" s="26"/>
      <c r="I2" s="26"/>
      <c r="J2" s="26"/>
      <c r="K2" s="26"/>
    </row>
    <row r="3" spans="2:11" ht="21.75" customHeight="1" x14ac:dyDescent="0.35">
      <c r="B3" s="35" t="s">
        <v>23</v>
      </c>
      <c r="C3" s="35"/>
      <c r="D3" s="35"/>
      <c r="E3" s="35"/>
      <c r="F3" s="36" t="s">
        <v>24</v>
      </c>
      <c r="G3" s="36"/>
      <c r="H3" s="36"/>
      <c r="I3" s="36"/>
      <c r="J3" s="36"/>
      <c r="K3" s="36"/>
    </row>
    <row r="5" spans="2:11" ht="39.75" customHeight="1" x14ac:dyDescent="0.35"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 s="1" t="s">
        <v>33</v>
      </c>
      <c r="K5" s="1" t="s">
        <v>34</v>
      </c>
    </row>
    <row r="6" spans="2:11" ht="45" customHeight="1" x14ac:dyDescent="0.35">
      <c r="B6" s="2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41</v>
      </c>
      <c r="I6" s="4" t="s">
        <v>42</v>
      </c>
      <c r="J6" s="3" t="s">
        <v>43</v>
      </c>
      <c r="K6" s="3" t="s">
        <v>44</v>
      </c>
    </row>
    <row r="7" spans="2:11" ht="45" customHeight="1" x14ac:dyDescent="0.35">
      <c r="B7" s="5" t="s">
        <v>45</v>
      </c>
      <c r="C7" s="6" t="s">
        <v>46</v>
      </c>
      <c r="D7" s="6" t="s">
        <v>37</v>
      </c>
      <c r="E7" s="6" t="s">
        <v>47</v>
      </c>
      <c r="F7" s="6" t="s">
        <v>48</v>
      </c>
      <c r="G7" s="6" t="s">
        <v>40</v>
      </c>
      <c r="H7" s="6" t="s">
        <v>49</v>
      </c>
      <c r="I7" s="4" t="s">
        <v>42</v>
      </c>
      <c r="J7" s="6" t="s">
        <v>43</v>
      </c>
      <c r="K7" s="6" t="s">
        <v>50</v>
      </c>
    </row>
    <row r="8" spans="2:11" ht="45" customHeight="1" x14ac:dyDescent="0.35">
      <c r="B8" s="2" t="s">
        <v>51</v>
      </c>
      <c r="C8" s="3" t="s">
        <v>52</v>
      </c>
      <c r="D8" s="3" t="s">
        <v>53</v>
      </c>
      <c r="E8" s="3" t="s">
        <v>54</v>
      </c>
      <c r="F8" s="3" t="s">
        <v>55</v>
      </c>
      <c r="G8" s="3" t="s">
        <v>56</v>
      </c>
      <c r="H8" s="3" t="s">
        <v>57</v>
      </c>
      <c r="I8" s="4" t="s">
        <v>42</v>
      </c>
      <c r="J8" s="3" t="s">
        <v>43</v>
      </c>
      <c r="K8" s="3" t="s">
        <v>58</v>
      </c>
    </row>
    <row r="9" spans="2:11" ht="45" customHeight="1" x14ac:dyDescent="0.35">
      <c r="B9" s="5" t="s">
        <v>59</v>
      </c>
      <c r="C9" s="6" t="s">
        <v>60</v>
      </c>
      <c r="D9" s="6" t="s">
        <v>53</v>
      </c>
      <c r="E9" s="6" t="s">
        <v>61</v>
      </c>
      <c r="F9" s="6" t="s">
        <v>62</v>
      </c>
      <c r="G9" s="6" t="s">
        <v>56</v>
      </c>
      <c r="H9" s="6" t="s">
        <v>63</v>
      </c>
      <c r="I9" s="7" t="s">
        <v>64</v>
      </c>
      <c r="J9" s="6" t="s">
        <v>43</v>
      </c>
      <c r="K9" s="6" t="s">
        <v>65</v>
      </c>
    </row>
    <row r="10" spans="2:11" ht="45" customHeight="1" x14ac:dyDescent="0.35">
      <c r="B10" s="2" t="s">
        <v>66</v>
      </c>
      <c r="C10" s="3" t="s">
        <v>67</v>
      </c>
      <c r="D10" s="3" t="s">
        <v>68</v>
      </c>
      <c r="E10" s="3" t="s">
        <v>69</v>
      </c>
      <c r="F10" s="3" t="s">
        <v>70</v>
      </c>
      <c r="G10" s="3" t="s">
        <v>71</v>
      </c>
      <c r="H10" s="3" t="s">
        <v>72</v>
      </c>
      <c r="I10" s="7" t="s">
        <v>64</v>
      </c>
      <c r="J10" s="3" t="s">
        <v>73</v>
      </c>
      <c r="K10" s="3" t="s">
        <v>74</v>
      </c>
    </row>
    <row r="11" spans="2:11" ht="45" customHeight="1" x14ac:dyDescent="0.35">
      <c r="B11" s="5" t="s">
        <v>75</v>
      </c>
      <c r="C11" s="6" t="s">
        <v>76</v>
      </c>
      <c r="D11" s="6" t="s">
        <v>77</v>
      </c>
      <c r="E11" s="6" t="s">
        <v>78</v>
      </c>
      <c r="F11" s="6" t="s">
        <v>79</v>
      </c>
      <c r="G11" s="6" t="s">
        <v>80</v>
      </c>
      <c r="H11" s="6" t="s">
        <v>81</v>
      </c>
      <c r="I11" s="4" t="s">
        <v>42</v>
      </c>
      <c r="J11" s="6" t="s">
        <v>43</v>
      </c>
      <c r="K11" s="6" t="s">
        <v>82</v>
      </c>
    </row>
    <row r="12" spans="2:11" ht="45" customHeight="1" x14ac:dyDescent="0.35">
      <c r="B12" s="2" t="s">
        <v>83</v>
      </c>
      <c r="C12" s="3" t="s">
        <v>84</v>
      </c>
      <c r="D12" s="3" t="s">
        <v>85</v>
      </c>
      <c r="E12" s="3" t="s">
        <v>86</v>
      </c>
      <c r="F12" s="3" t="s">
        <v>87</v>
      </c>
      <c r="G12" s="3" t="s">
        <v>88</v>
      </c>
      <c r="H12" s="3" t="s">
        <v>89</v>
      </c>
      <c r="I12" s="7" t="s">
        <v>64</v>
      </c>
      <c r="J12" s="3" t="s">
        <v>43</v>
      </c>
      <c r="K12" s="3" t="s">
        <v>90</v>
      </c>
    </row>
    <row r="13" spans="2:11" ht="45" customHeight="1" x14ac:dyDescent="0.35">
      <c r="B13" s="5" t="s">
        <v>91</v>
      </c>
      <c r="C13" s="6" t="s">
        <v>92</v>
      </c>
      <c r="D13" s="6" t="s">
        <v>93</v>
      </c>
      <c r="E13" s="6" t="s">
        <v>94</v>
      </c>
      <c r="F13" s="6" t="s">
        <v>95</v>
      </c>
      <c r="G13" s="6" t="s">
        <v>96</v>
      </c>
      <c r="H13" s="6" t="s">
        <v>97</v>
      </c>
      <c r="I13" s="8" t="s">
        <v>98</v>
      </c>
      <c r="J13" s="6" t="s">
        <v>99</v>
      </c>
      <c r="K13" s="6" t="s">
        <v>100</v>
      </c>
    </row>
    <row r="14" spans="2:11" ht="36" customHeight="1" x14ac:dyDescent="0.35">
      <c r="B14" s="9" t="s">
        <v>101</v>
      </c>
      <c r="C14" s="10"/>
      <c r="D14" s="10"/>
      <c r="E14" s="10"/>
      <c r="F14" s="10"/>
      <c r="G14" s="10"/>
      <c r="H14" s="10"/>
      <c r="I14" s="11"/>
      <c r="J14" s="10"/>
      <c r="K14" s="10"/>
    </row>
    <row r="15" spans="2:11" ht="36" customHeight="1" x14ac:dyDescent="0.35">
      <c r="B15" s="12" t="s">
        <v>102</v>
      </c>
      <c r="C15" s="13"/>
      <c r="D15" s="13"/>
      <c r="E15" s="13"/>
      <c r="F15" s="13"/>
      <c r="G15" s="13"/>
      <c r="H15" s="13"/>
      <c r="I15" s="11"/>
      <c r="J15" s="13"/>
      <c r="K15" s="13"/>
    </row>
    <row r="16" spans="2:11" ht="36" customHeight="1" x14ac:dyDescent="0.35">
      <c r="B16" s="9" t="s">
        <v>103</v>
      </c>
      <c r="C16" s="10"/>
      <c r="D16" s="10"/>
      <c r="E16" s="10"/>
      <c r="F16" s="10"/>
      <c r="G16" s="10"/>
      <c r="H16" s="10"/>
      <c r="I16" s="11"/>
      <c r="J16" s="10"/>
      <c r="K16" s="10"/>
    </row>
    <row r="17" spans="2:11" ht="36" customHeight="1" x14ac:dyDescent="0.35">
      <c r="B17" s="12" t="s">
        <v>104</v>
      </c>
      <c r="C17" s="13"/>
      <c r="D17" s="13"/>
      <c r="E17" s="13"/>
      <c r="F17" s="13"/>
      <c r="G17" s="13"/>
      <c r="H17" s="13"/>
      <c r="I17" s="11"/>
      <c r="J17" s="13"/>
      <c r="K17" s="13"/>
    </row>
    <row r="18" spans="2:11" ht="36" customHeight="1" x14ac:dyDescent="0.35">
      <c r="B18" s="9" t="s">
        <v>105</v>
      </c>
      <c r="C18" s="10"/>
      <c r="D18" s="10"/>
      <c r="E18" s="10"/>
      <c r="F18" s="10"/>
      <c r="G18" s="10"/>
      <c r="H18" s="10"/>
      <c r="I18" s="11"/>
      <c r="J18" s="10"/>
      <c r="K18" s="10"/>
    </row>
    <row r="19" spans="2:11" ht="36" customHeight="1" x14ac:dyDescent="0.35">
      <c r="B19" s="12" t="s">
        <v>106</v>
      </c>
      <c r="C19" s="13"/>
      <c r="D19" s="13"/>
      <c r="E19" s="13"/>
      <c r="F19" s="13"/>
      <c r="G19" s="13"/>
      <c r="H19" s="13"/>
      <c r="I19" s="11"/>
      <c r="J19" s="13"/>
      <c r="K19" s="13"/>
    </row>
    <row r="20" spans="2:11" ht="36" customHeight="1" x14ac:dyDescent="0.35">
      <c r="B20" s="9" t="s">
        <v>107</v>
      </c>
      <c r="C20" s="10"/>
      <c r="D20" s="10"/>
      <c r="E20" s="10"/>
      <c r="F20" s="10"/>
      <c r="G20" s="10"/>
      <c r="H20" s="10"/>
      <c r="I20" s="11"/>
      <c r="J20" s="10"/>
      <c r="K20" s="10"/>
    </row>
    <row r="21" spans="2:11" ht="36" customHeight="1" x14ac:dyDescent="0.35">
      <c r="B21" s="12" t="s">
        <v>108</v>
      </c>
      <c r="C21" s="13"/>
      <c r="D21" s="13"/>
      <c r="E21" s="13"/>
      <c r="F21" s="13"/>
      <c r="G21" s="13"/>
      <c r="H21" s="13"/>
      <c r="I21" s="11"/>
      <c r="J21" s="13"/>
      <c r="K21" s="13"/>
    </row>
    <row r="22" spans="2:11" ht="36" customHeight="1" x14ac:dyDescent="0.35">
      <c r="B22" s="9" t="s">
        <v>109</v>
      </c>
      <c r="C22" s="10"/>
      <c r="D22" s="10"/>
      <c r="E22" s="10"/>
      <c r="F22" s="10"/>
      <c r="G22" s="10"/>
      <c r="H22" s="10"/>
      <c r="I22" s="11"/>
      <c r="J22" s="10"/>
      <c r="K22" s="10"/>
    </row>
    <row r="23" spans="2:11" ht="36" customHeight="1" x14ac:dyDescent="0.35">
      <c r="B23" s="12" t="s">
        <v>110</v>
      </c>
      <c r="C23" s="13"/>
      <c r="D23" s="13"/>
      <c r="E23" s="13"/>
      <c r="F23" s="13"/>
      <c r="G23" s="13"/>
      <c r="H23" s="13"/>
      <c r="I23" s="11"/>
      <c r="J23" s="13"/>
      <c r="K23" s="13"/>
    </row>
  </sheetData>
  <mergeCells count="3">
    <mergeCell ref="B3:E3"/>
    <mergeCell ref="B2:K2"/>
    <mergeCell ref="F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23"/>
  <sheetViews>
    <sheetView showGridLines="0" zoomScaleNormal="100" workbookViewId="0">
      <selection activeCell="I13" sqref="I13"/>
    </sheetView>
  </sheetViews>
  <sheetFormatPr defaultColWidth="8.6328125" defaultRowHeight="14.5" x14ac:dyDescent="0.35"/>
  <cols>
    <col min="1" max="1" width="3" customWidth="1"/>
    <col min="2" max="2" width="8" customWidth="1"/>
    <col min="3" max="3" width="28" customWidth="1"/>
    <col min="4" max="4" width="18" customWidth="1"/>
    <col min="5" max="5" width="16" customWidth="1"/>
    <col min="6" max="6" width="20" customWidth="1"/>
    <col min="7" max="7" width="18" customWidth="1"/>
    <col min="8" max="8" width="14" customWidth="1"/>
    <col min="9" max="10" width="22" customWidth="1"/>
    <col min="11" max="11" width="30.26953125" customWidth="1"/>
  </cols>
  <sheetData>
    <row r="2" spans="2:11" ht="33.75" customHeight="1" x14ac:dyDescent="0.35">
      <c r="B2" s="26" t="s">
        <v>111</v>
      </c>
      <c r="C2" s="26"/>
      <c r="D2" s="26"/>
      <c r="E2" s="26"/>
      <c r="F2" s="26"/>
      <c r="G2" s="26"/>
      <c r="H2" s="26"/>
      <c r="I2" s="26"/>
      <c r="J2" s="26"/>
      <c r="K2" s="26"/>
    </row>
    <row r="3" spans="2:11" ht="21.75" customHeight="1" x14ac:dyDescent="0.35">
      <c r="B3" s="35" t="s">
        <v>23</v>
      </c>
      <c r="C3" s="35"/>
      <c r="D3" s="35"/>
      <c r="E3" s="35"/>
      <c r="F3" s="36" t="s">
        <v>24</v>
      </c>
      <c r="G3" s="36"/>
      <c r="H3" s="36"/>
      <c r="I3" s="36"/>
      <c r="J3" s="36"/>
      <c r="K3" s="36"/>
    </row>
    <row r="5" spans="2:11" ht="39.75" customHeight="1" x14ac:dyDescent="0.35">
      <c r="B5" s="1" t="s">
        <v>25</v>
      </c>
      <c r="C5" s="1" t="s">
        <v>112</v>
      </c>
      <c r="D5" s="1" t="s">
        <v>113</v>
      </c>
      <c r="E5" s="1" t="s">
        <v>114</v>
      </c>
      <c r="F5" s="1" t="s">
        <v>115</v>
      </c>
      <c r="G5" s="1" t="s">
        <v>116</v>
      </c>
      <c r="H5" s="1" t="s">
        <v>117</v>
      </c>
      <c r="I5" s="1" t="s">
        <v>32</v>
      </c>
      <c r="J5" s="1" t="s">
        <v>33</v>
      </c>
      <c r="K5" s="1" t="s">
        <v>118</v>
      </c>
    </row>
    <row r="6" spans="2:11" ht="45" customHeight="1" x14ac:dyDescent="0.35">
      <c r="B6" s="2" t="s">
        <v>119</v>
      </c>
      <c r="C6" s="3" t="s">
        <v>120</v>
      </c>
      <c r="D6" s="3" t="s">
        <v>121</v>
      </c>
      <c r="E6" s="3" t="s">
        <v>122</v>
      </c>
      <c r="F6" s="3" t="s">
        <v>123</v>
      </c>
      <c r="G6" s="3" t="s">
        <v>124</v>
      </c>
      <c r="H6" s="3" t="s">
        <v>125</v>
      </c>
      <c r="I6" s="4" t="s">
        <v>42</v>
      </c>
      <c r="J6" s="3" t="s">
        <v>43</v>
      </c>
      <c r="K6" s="3" t="s">
        <v>126</v>
      </c>
    </row>
    <row r="7" spans="2:11" ht="45" customHeight="1" x14ac:dyDescent="0.35">
      <c r="B7" s="5" t="s">
        <v>127</v>
      </c>
      <c r="C7" s="6" t="s">
        <v>128</v>
      </c>
      <c r="D7" s="6" t="s">
        <v>31</v>
      </c>
      <c r="E7" s="6" t="s">
        <v>129</v>
      </c>
      <c r="F7" s="6" t="s">
        <v>130</v>
      </c>
      <c r="G7" s="6" t="s">
        <v>131</v>
      </c>
      <c r="H7" s="6" t="s">
        <v>132</v>
      </c>
      <c r="I7" s="4" t="s">
        <v>42</v>
      </c>
      <c r="J7" s="6" t="s">
        <v>43</v>
      </c>
      <c r="K7" s="6" t="s">
        <v>133</v>
      </c>
    </row>
    <row r="8" spans="2:11" ht="45" customHeight="1" x14ac:dyDescent="0.35">
      <c r="B8" s="2" t="s">
        <v>134</v>
      </c>
      <c r="C8" s="3" t="s">
        <v>135</v>
      </c>
      <c r="D8" s="3" t="s">
        <v>136</v>
      </c>
      <c r="E8" s="3" t="s">
        <v>137</v>
      </c>
      <c r="F8" s="3" t="s">
        <v>123</v>
      </c>
      <c r="G8" s="3" t="s">
        <v>138</v>
      </c>
      <c r="H8" s="3" t="s">
        <v>139</v>
      </c>
      <c r="I8" s="4" t="s">
        <v>42</v>
      </c>
      <c r="J8" s="3" t="s">
        <v>43</v>
      </c>
      <c r="K8" s="3" t="s">
        <v>140</v>
      </c>
    </row>
    <row r="9" spans="2:11" ht="45" customHeight="1" x14ac:dyDescent="0.35">
      <c r="B9" s="5" t="s">
        <v>141</v>
      </c>
      <c r="C9" s="6" t="s">
        <v>142</v>
      </c>
      <c r="D9" s="6" t="s">
        <v>143</v>
      </c>
      <c r="E9" s="6" t="s">
        <v>144</v>
      </c>
      <c r="F9" s="6" t="s">
        <v>145</v>
      </c>
      <c r="G9" s="6" t="s">
        <v>124</v>
      </c>
      <c r="H9" s="6" t="s">
        <v>146</v>
      </c>
      <c r="I9" s="4" t="s">
        <v>42</v>
      </c>
      <c r="J9" s="6" t="s">
        <v>43</v>
      </c>
      <c r="K9" s="6" t="s">
        <v>147</v>
      </c>
    </row>
    <row r="10" spans="2:11" ht="45" customHeight="1" x14ac:dyDescent="0.35">
      <c r="B10" s="2" t="s">
        <v>148</v>
      </c>
      <c r="C10" s="3" t="s">
        <v>149</v>
      </c>
      <c r="D10" s="3" t="s">
        <v>150</v>
      </c>
      <c r="E10" s="3" t="s">
        <v>151</v>
      </c>
      <c r="F10" s="3" t="s">
        <v>123</v>
      </c>
      <c r="G10" s="3" t="s">
        <v>152</v>
      </c>
      <c r="H10" s="3" t="s">
        <v>153</v>
      </c>
      <c r="I10" s="7" t="s">
        <v>64</v>
      </c>
      <c r="J10" s="3" t="s">
        <v>43</v>
      </c>
      <c r="K10" s="3" t="s">
        <v>154</v>
      </c>
    </row>
    <row r="11" spans="2:11" ht="45" customHeight="1" x14ac:dyDescent="0.35">
      <c r="B11" s="5" t="s">
        <v>155</v>
      </c>
      <c r="C11" s="6" t="s">
        <v>156</v>
      </c>
      <c r="D11" s="6" t="s">
        <v>157</v>
      </c>
      <c r="E11" s="6" t="s">
        <v>158</v>
      </c>
      <c r="F11" s="6" t="s">
        <v>159</v>
      </c>
      <c r="G11" s="6" t="s">
        <v>160</v>
      </c>
      <c r="H11" s="6" t="s">
        <v>161</v>
      </c>
      <c r="I11" s="4" t="s">
        <v>42</v>
      </c>
      <c r="J11" s="6" t="s">
        <v>43</v>
      </c>
      <c r="K11" s="6" t="s">
        <v>162</v>
      </c>
    </row>
    <row r="12" spans="2:11" ht="45" customHeight="1" x14ac:dyDescent="0.35">
      <c r="B12" s="2" t="s">
        <v>163</v>
      </c>
      <c r="C12" s="3" t="s">
        <v>164</v>
      </c>
      <c r="D12" s="3" t="s">
        <v>165</v>
      </c>
      <c r="E12" s="3" t="s">
        <v>166</v>
      </c>
      <c r="F12" s="3" t="s">
        <v>123</v>
      </c>
      <c r="G12" s="3" t="s">
        <v>167</v>
      </c>
      <c r="H12" s="3" t="s">
        <v>168</v>
      </c>
      <c r="I12" s="8" t="s">
        <v>98</v>
      </c>
      <c r="J12" s="3" t="s">
        <v>169</v>
      </c>
      <c r="K12" s="3" t="s">
        <v>170</v>
      </c>
    </row>
    <row r="13" spans="2:11" ht="45" customHeight="1" x14ac:dyDescent="0.35">
      <c r="B13" s="5" t="s">
        <v>171</v>
      </c>
      <c r="C13" s="6" t="s">
        <v>172</v>
      </c>
      <c r="D13" s="6" t="s">
        <v>173</v>
      </c>
      <c r="E13" s="6" t="s">
        <v>174</v>
      </c>
      <c r="F13" s="6" t="s">
        <v>175</v>
      </c>
      <c r="G13" s="6" t="s">
        <v>176</v>
      </c>
      <c r="H13" s="6" t="s">
        <v>177</v>
      </c>
      <c r="I13" s="7" t="s">
        <v>64</v>
      </c>
      <c r="J13" s="6" t="s">
        <v>178</v>
      </c>
      <c r="K13" s="6" t="s">
        <v>179</v>
      </c>
    </row>
    <row r="14" spans="2:11" ht="36" customHeight="1" x14ac:dyDescent="0.35">
      <c r="B14" s="9" t="s">
        <v>180</v>
      </c>
      <c r="C14" s="10"/>
      <c r="D14" s="10"/>
      <c r="E14" s="10"/>
      <c r="F14" s="10"/>
      <c r="G14" s="10"/>
      <c r="H14" s="10"/>
      <c r="I14" s="11"/>
      <c r="J14" s="10"/>
      <c r="K14" s="10"/>
    </row>
    <row r="15" spans="2:11" ht="36" customHeight="1" x14ac:dyDescent="0.35">
      <c r="B15" s="12" t="s">
        <v>181</v>
      </c>
      <c r="C15" s="13"/>
      <c r="D15" s="13"/>
      <c r="E15" s="13"/>
      <c r="F15" s="13"/>
      <c r="G15" s="13"/>
      <c r="H15" s="13"/>
      <c r="I15" s="11"/>
      <c r="J15" s="13"/>
      <c r="K15" s="13"/>
    </row>
    <row r="16" spans="2:11" ht="36" customHeight="1" x14ac:dyDescent="0.35">
      <c r="B16" s="9" t="s">
        <v>182</v>
      </c>
      <c r="C16" s="10"/>
      <c r="D16" s="10"/>
      <c r="E16" s="10"/>
      <c r="F16" s="10"/>
      <c r="G16" s="10"/>
      <c r="H16" s="10"/>
      <c r="I16" s="11"/>
      <c r="J16" s="10"/>
      <c r="K16" s="10"/>
    </row>
    <row r="17" spans="2:11" ht="36" customHeight="1" x14ac:dyDescent="0.35">
      <c r="B17" s="12" t="s">
        <v>183</v>
      </c>
      <c r="C17" s="13"/>
      <c r="D17" s="13"/>
      <c r="E17" s="13"/>
      <c r="F17" s="13"/>
      <c r="G17" s="13"/>
      <c r="H17" s="13"/>
      <c r="I17" s="11"/>
      <c r="J17" s="13"/>
      <c r="K17" s="13"/>
    </row>
    <row r="18" spans="2:11" ht="36" customHeight="1" x14ac:dyDescent="0.35">
      <c r="B18" s="9" t="s">
        <v>184</v>
      </c>
      <c r="C18" s="10"/>
      <c r="D18" s="10"/>
      <c r="E18" s="10"/>
      <c r="F18" s="10"/>
      <c r="G18" s="10"/>
      <c r="H18" s="10"/>
      <c r="I18" s="11"/>
      <c r="J18" s="10"/>
      <c r="K18" s="10"/>
    </row>
    <row r="19" spans="2:11" ht="36" customHeight="1" x14ac:dyDescent="0.35">
      <c r="B19" s="12" t="s">
        <v>185</v>
      </c>
      <c r="C19" s="13"/>
      <c r="D19" s="13"/>
      <c r="E19" s="13"/>
      <c r="F19" s="13"/>
      <c r="G19" s="13"/>
      <c r="H19" s="13"/>
      <c r="I19" s="11"/>
      <c r="J19" s="13"/>
      <c r="K19" s="13"/>
    </row>
    <row r="20" spans="2:11" ht="36" customHeight="1" x14ac:dyDescent="0.35">
      <c r="B20" s="9" t="s">
        <v>186</v>
      </c>
      <c r="C20" s="10"/>
      <c r="D20" s="10"/>
      <c r="E20" s="10"/>
      <c r="F20" s="10"/>
      <c r="G20" s="10"/>
      <c r="H20" s="10"/>
      <c r="I20" s="11"/>
      <c r="J20" s="10"/>
      <c r="K20" s="10"/>
    </row>
    <row r="21" spans="2:11" ht="36" customHeight="1" x14ac:dyDescent="0.35">
      <c r="B21" s="12" t="s">
        <v>187</v>
      </c>
      <c r="C21" s="13"/>
      <c r="D21" s="13"/>
      <c r="E21" s="13"/>
      <c r="F21" s="13"/>
      <c r="G21" s="13"/>
      <c r="H21" s="13"/>
      <c r="I21" s="11"/>
      <c r="J21" s="13"/>
      <c r="K21" s="13"/>
    </row>
    <row r="22" spans="2:11" ht="36" customHeight="1" x14ac:dyDescent="0.35">
      <c r="B22" s="9" t="s">
        <v>188</v>
      </c>
      <c r="C22" s="10"/>
      <c r="D22" s="10"/>
      <c r="E22" s="10"/>
      <c r="F22" s="10"/>
      <c r="G22" s="10"/>
      <c r="H22" s="10"/>
      <c r="I22" s="11"/>
      <c r="J22" s="10"/>
      <c r="K22" s="10"/>
    </row>
    <row r="23" spans="2:11" ht="36" customHeight="1" x14ac:dyDescent="0.35">
      <c r="B23" s="12" t="s">
        <v>189</v>
      </c>
      <c r="C23" s="13"/>
      <c r="D23" s="13"/>
      <c r="E23" s="13"/>
      <c r="F23" s="13"/>
      <c r="G23" s="13"/>
      <c r="H23" s="13"/>
      <c r="I23" s="11"/>
      <c r="J23" s="13"/>
      <c r="K23" s="13"/>
    </row>
  </sheetData>
  <mergeCells count="3">
    <mergeCell ref="B3:E3"/>
    <mergeCell ref="B2:K2"/>
    <mergeCell ref="F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35"/>
  <sheetViews>
    <sheetView showGridLines="0" tabSelected="1" topLeftCell="A2" zoomScaleNormal="100" workbookViewId="0">
      <selection activeCell="I9" sqref="I9"/>
    </sheetView>
  </sheetViews>
  <sheetFormatPr defaultColWidth="8.6328125" defaultRowHeight="14.5" x14ac:dyDescent="0.35"/>
  <cols>
    <col min="1" max="1" width="3" customWidth="1"/>
    <col min="2" max="2" width="8" customWidth="1"/>
    <col min="3" max="3" width="26" customWidth="1"/>
    <col min="4" max="5" width="18" customWidth="1"/>
    <col min="6" max="6" width="16" customWidth="1"/>
    <col min="7" max="7" width="22" customWidth="1"/>
    <col min="8" max="8" width="14" customWidth="1"/>
    <col min="9" max="10" width="22" customWidth="1"/>
    <col min="11" max="11" width="21.81640625" customWidth="1"/>
  </cols>
  <sheetData>
    <row r="2" spans="2:11" ht="33.75" customHeight="1" x14ac:dyDescent="0.35">
      <c r="B2" s="26" t="s">
        <v>190</v>
      </c>
      <c r="C2" s="26"/>
      <c r="D2" s="26"/>
      <c r="E2" s="26"/>
      <c r="F2" s="26"/>
      <c r="G2" s="26"/>
      <c r="H2" s="26"/>
      <c r="I2" s="26"/>
      <c r="J2" s="26"/>
      <c r="K2" s="26"/>
    </row>
    <row r="3" spans="2:11" ht="21.75" customHeight="1" x14ac:dyDescent="0.35">
      <c r="B3" s="47" t="s">
        <v>23</v>
      </c>
      <c r="C3" s="35"/>
      <c r="D3" s="35"/>
      <c r="E3" s="35"/>
      <c r="F3" s="48" t="s">
        <v>24</v>
      </c>
      <c r="G3" s="36"/>
      <c r="H3" s="36"/>
      <c r="I3" s="36"/>
      <c r="J3" s="36"/>
      <c r="K3" s="36"/>
    </row>
    <row r="5" spans="2:11" ht="39.75" customHeight="1" x14ac:dyDescent="0.35">
      <c r="B5" s="1" t="s">
        <v>25</v>
      </c>
      <c r="C5" s="1" t="s">
        <v>191</v>
      </c>
      <c r="D5" s="1" t="s">
        <v>192</v>
      </c>
      <c r="E5" s="1" t="s">
        <v>193</v>
      </c>
      <c r="F5" s="1" t="s">
        <v>194</v>
      </c>
      <c r="G5" s="1" t="s">
        <v>195</v>
      </c>
      <c r="H5" s="1" t="s">
        <v>196</v>
      </c>
      <c r="I5" s="1" t="s">
        <v>32</v>
      </c>
      <c r="J5" s="1" t="s">
        <v>33</v>
      </c>
      <c r="K5" s="1" t="s">
        <v>197</v>
      </c>
    </row>
    <row r="6" spans="2:11" ht="48" customHeight="1" x14ac:dyDescent="0.35">
      <c r="B6" s="2" t="s">
        <v>198</v>
      </c>
      <c r="C6" s="3" t="s">
        <v>135</v>
      </c>
      <c r="D6" s="3" t="s">
        <v>199</v>
      </c>
      <c r="E6" s="3" t="s">
        <v>200</v>
      </c>
      <c r="F6" s="3" t="s">
        <v>201</v>
      </c>
      <c r="G6" s="3" t="s">
        <v>202</v>
      </c>
      <c r="H6" s="3" t="s">
        <v>203</v>
      </c>
      <c r="I6" s="4" t="s">
        <v>42</v>
      </c>
      <c r="J6" s="3" t="s">
        <v>43</v>
      </c>
      <c r="K6" s="14" t="s">
        <v>204</v>
      </c>
    </row>
    <row r="7" spans="2:11" ht="48" customHeight="1" x14ac:dyDescent="0.35">
      <c r="B7" s="5" t="s">
        <v>205</v>
      </c>
      <c r="C7" s="6" t="s">
        <v>206</v>
      </c>
      <c r="D7" s="6" t="s">
        <v>199</v>
      </c>
      <c r="E7" s="6" t="s">
        <v>207</v>
      </c>
      <c r="F7" s="6" t="s">
        <v>208</v>
      </c>
      <c r="G7" s="6" t="s">
        <v>209</v>
      </c>
      <c r="H7" s="6" t="s">
        <v>210</v>
      </c>
      <c r="I7" s="4" t="s">
        <v>42</v>
      </c>
      <c r="J7" s="6" t="s">
        <v>43</v>
      </c>
      <c r="K7" s="14" t="s">
        <v>211</v>
      </c>
    </row>
    <row r="8" spans="2:11" ht="48" customHeight="1" x14ac:dyDescent="0.35">
      <c r="B8" s="2" t="s">
        <v>212</v>
      </c>
      <c r="C8" s="3" t="s">
        <v>213</v>
      </c>
      <c r="D8" s="3" t="s">
        <v>214</v>
      </c>
      <c r="E8" s="3" t="s">
        <v>200</v>
      </c>
      <c r="F8" s="3" t="s">
        <v>215</v>
      </c>
      <c r="G8" s="3" t="s">
        <v>216</v>
      </c>
      <c r="H8" s="3" t="s">
        <v>217</v>
      </c>
      <c r="I8" s="4" t="s">
        <v>42</v>
      </c>
      <c r="J8" s="3" t="s">
        <v>218</v>
      </c>
      <c r="K8" s="15" t="s">
        <v>219</v>
      </c>
    </row>
    <row r="9" spans="2:11" ht="48" customHeight="1" x14ac:dyDescent="0.35">
      <c r="B9" s="5" t="s">
        <v>220</v>
      </c>
      <c r="C9" s="6" t="s">
        <v>221</v>
      </c>
      <c r="D9" s="6" t="s">
        <v>222</v>
      </c>
      <c r="E9" s="6" t="s">
        <v>200</v>
      </c>
      <c r="F9" s="6" t="s">
        <v>223</v>
      </c>
      <c r="G9" s="6" t="s">
        <v>224</v>
      </c>
      <c r="H9" s="6" t="s">
        <v>225</v>
      </c>
      <c r="I9" s="4" t="s">
        <v>42</v>
      </c>
      <c r="J9" s="6" t="s">
        <v>226</v>
      </c>
      <c r="K9" s="15" t="s">
        <v>227</v>
      </c>
    </row>
    <row r="10" spans="2:11" ht="48" customHeight="1" x14ac:dyDescent="0.35">
      <c r="B10" s="2" t="s">
        <v>228</v>
      </c>
      <c r="C10" s="3" t="s">
        <v>229</v>
      </c>
      <c r="D10" s="3" t="s">
        <v>230</v>
      </c>
      <c r="E10" s="3" t="s">
        <v>200</v>
      </c>
      <c r="F10" s="3" t="s">
        <v>231</v>
      </c>
      <c r="G10" s="3" t="s">
        <v>232</v>
      </c>
      <c r="H10" s="3" t="s">
        <v>233</v>
      </c>
      <c r="I10" s="4" t="s">
        <v>42</v>
      </c>
      <c r="J10" s="3" t="s">
        <v>169</v>
      </c>
      <c r="K10" s="45" t="s">
        <v>234</v>
      </c>
    </row>
    <row r="11" spans="2:11" ht="48" customHeight="1" x14ac:dyDescent="0.35">
      <c r="B11" s="5" t="s">
        <v>235</v>
      </c>
      <c r="C11" s="6" t="s">
        <v>236</v>
      </c>
      <c r="D11" s="6" t="s">
        <v>237</v>
      </c>
      <c r="E11" s="6" t="s">
        <v>200</v>
      </c>
      <c r="F11" s="6" t="s">
        <v>238</v>
      </c>
      <c r="G11" s="6" t="s">
        <v>239</v>
      </c>
      <c r="H11" s="6" t="s">
        <v>240</v>
      </c>
      <c r="I11" s="7" t="s">
        <v>64</v>
      </c>
      <c r="J11" s="6" t="s">
        <v>43</v>
      </c>
      <c r="K11" s="15" t="s">
        <v>241</v>
      </c>
    </row>
    <row r="12" spans="2:11" ht="48" customHeight="1" x14ac:dyDescent="0.35">
      <c r="B12" s="2" t="s">
        <v>242</v>
      </c>
      <c r="C12" s="3" t="s">
        <v>243</v>
      </c>
      <c r="D12" s="3" t="s">
        <v>243</v>
      </c>
      <c r="E12" s="3" t="s">
        <v>200</v>
      </c>
      <c r="F12" s="3" t="s">
        <v>244</v>
      </c>
      <c r="G12" s="3" t="s">
        <v>245</v>
      </c>
      <c r="H12" s="3" t="s">
        <v>225</v>
      </c>
      <c r="I12" s="8" t="s">
        <v>98</v>
      </c>
      <c r="J12" s="3" t="s">
        <v>169</v>
      </c>
      <c r="K12" s="14" t="s">
        <v>246</v>
      </c>
    </row>
    <row r="13" spans="2:11" ht="48" customHeight="1" x14ac:dyDescent="0.35">
      <c r="B13" s="5" t="s">
        <v>247</v>
      </c>
      <c r="C13" s="6" t="s">
        <v>248</v>
      </c>
      <c r="D13" s="6" t="s">
        <v>249</v>
      </c>
      <c r="E13" s="6" t="s">
        <v>200</v>
      </c>
      <c r="F13" s="6" t="s">
        <v>250</v>
      </c>
      <c r="G13" s="6" t="s">
        <v>251</v>
      </c>
      <c r="H13" s="6" t="s">
        <v>252</v>
      </c>
      <c r="I13" s="8" t="s">
        <v>98</v>
      </c>
      <c r="J13" s="6" t="s">
        <v>169</v>
      </c>
      <c r="K13" s="15" t="s">
        <v>253</v>
      </c>
    </row>
    <row r="14" spans="2:11" ht="36" customHeight="1" x14ac:dyDescent="0.35">
      <c r="B14" s="9" t="s">
        <v>254</v>
      </c>
      <c r="C14" s="10"/>
      <c r="D14" s="10"/>
      <c r="E14" s="10"/>
      <c r="F14" s="10"/>
      <c r="G14" s="10"/>
      <c r="H14" s="10"/>
      <c r="I14" s="11"/>
      <c r="J14" s="10"/>
      <c r="K14" s="10"/>
    </row>
    <row r="15" spans="2:11" ht="36" customHeight="1" x14ac:dyDescent="0.35">
      <c r="B15" s="12" t="s">
        <v>255</v>
      </c>
      <c r="C15" s="13"/>
      <c r="D15" s="13"/>
      <c r="E15" s="13"/>
      <c r="F15" s="13"/>
      <c r="G15" s="13"/>
      <c r="H15" s="13"/>
      <c r="I15" s="11"/>
      <c r="J15" s="13"/>
      <c r="K15" s="13"/>
    </row>
    <row r="16" spans="2:11" ht="36" customHeight="1" x14ac:dyDescent="0.35">
      <c r="B16" s="9" t="s">
        <v>256</v>
      </c>
      <c r="C16" s="10"/>
      <c r="D16" s="10"/>
      <c r="E16" s="10"/>
      <c r="F16" s="10"/>
      <c r="G16" s="10"/>
      <c r="H16" s="10"/>
      <c r="I16" s="11"/>
      <c r="J16" s="10"/>
      <c r="K16" s="10"/>
    </row>
    <row r="17" spans="2:11" ht="36" customHeight="1" x14ac:dyDescent="0.35">
      <c r="B17" s="12" t="s">
        <v>257</v>
      </c>
      <c r="C17" s="13"/>
      <c r="D17" s="13"/>
      <c r="E17" s="13"/>
      <c r="F17" s="13"/>
      <c r="G17" s="13"/>
      <c r="H17" s="13"/>
      <c r="I17" s="11"/>
      <c r="J17" s="13"/>
      <c r="K17" s="13"/>
    </row>
    <row r="18" spans="2:11" ht="36" customHeight="1" x14ac:dyDescent="0.35">
      <c r="B18" s="9" t="s">
        <v>258</v>
      </c>
      <c r="C18" s="10"/>
      <c r="D18" s="10"/>
      <c r="E18" s="10"/>
      <c r="F18" s="10"/>
      <c r="G18" s="10"/>
      <c r="H18" s="10"/>
      <c r="I18" s="11"/>
      <c r="J18" s="10"/>
      <c r="K18" s="10"/>
    </row>
    <row r="19" spans="2:11" ht="36" customHeight="1" x14ac:dyDescent="0.35">
      <c r="B19" s="12" t="s">
        <v>259</v>
      </c>
      <c r="C19" s="13"/>
      <c r="D19" s="13"/>
      <c r="E19" s="13"/>
      <c r="F19" s="13"/>
      <c r="G19" s="13"/>
      <c r="H19" s="13"/>
      <c r="I19" s="11"/>
      <c r="J19" s="13"/>
      <c r="K19" s="13"/>
    </row>
    <row r="20" spans="2:11" ht="36" customHeight="1" x14ac:dyDescent="0.35">
      <c r="B20" s="9" t="s">
        <v>260</v>
      </c>
      <c r="C20" s="10"/>
      <c r="D20" s="10"/>
      <c r="E20" s="10"/>
      <c r="F20" s="10"/>
      <c r="G20" s="10"/>
      <c r="H20" s="10"/>
      <c r="I20" s="11"/>
      <c r="J20" s="10"/>
      <c r="K20" s="10"/>
    </row>
    <row r="21" spans="2:11" ht="36" customHeight="1" x14ac:dyDescent="0.35">
      <c r="B21" s="12" t="s">
        <v>261</v>
      </c>
      <c r="C21" s="13"/>
      <c r="D21" s="13"/>
      <c r="E21" s="13"/>
      <c r="F21" s="13"/>
      <c r="G21" s="13"/>
      <c r="H21" s="13"/>
      <c r="I21" s="11"/>
      <c r="J21" s="13"/>
      <c r="K21" s="13"/>
    </row>
    <row r="22" spans="2:11" ht="36" customHeight="1" x14ac:dyDescent="0.35">
      <c r="B22" s="9" t="s">
        <v>274</v>
      </c>
      <c r="C22" s="10"/>
      <c r="D22" s="10"/>
      <c r="E22" s="10"/>
      <c r="F22" s="10"/>
      <c r="G22" s="10"/>
      <c r="H22" s="10"/>
      <c r="I22" s="11"/>
      <c r="J22" s="10"/>
      <c r="K22" s="10"/>
    </row>
    <row r="23" spans="2:11" ht="36" customHeight="1" x14ac:dyDescent="0.35">
      <c r="B23" s="12" t="s">
        <v>275</v>
      </c>
      <c r="C23" s="13"/>
      <c r="D23" s="13"/>
      <c r="E23" s="13"/>
      <c r="F23" s="13"/>
      <c r="G23" s="13"/>
      <c r="H23" s="13"/>
      <c r="I23" s="11"/>
      <c r="J23" s="13"/>
      <c r="K23" s="13"/>
    </row>
    <row r="24" spans="2:11" ht="36" customHeight="1" x14ac:dyDescent="0.35">
      <c r="B24" s="9" t="s">
        <v>276</v>
      </c>
      <c r="C24" s="10"/>
      <c r="D24" s="10"/>
      <c r="E24" s="10"/>
      <c r="F24" s="10"/>
      <c r="G24" s="10"/>
      <c r="H24" s="10"/>
      <c r="I24" s="11"/>
      <c r="J24" s="10"/>
      <c r="K24" s="10"/>
    </row>
    <row r="25" spans="2:11" ht="36" customHeight="1" x14ac:dyDescent="0.35">
      <c r="B25" s="12" t="s">
        <v>277</v>
      </c>
      <c r="C25" s="13"/>
      <c r="D25" s="13"/>
      <c r="E25" s="13"/>
      <c r="F25" s="13"/>
      <c r="G25" s="13"/>
      <c r="H25" s="13"/>
      <c r="I25" s="11"/>
      <c r="J25" s="13"/>
      <c r="K25" s="13"/>
    </row>
    <row r="26" spans="2:11" ht="36" customHeight="1" x14ac:dyDescent="0.35">
      <c r="B26" s="9" t="s">
        <v>278</v>
      </c>
      <c r="C26" s="10"/>
      <c r="D26" s="10"/>
      <c r="E26" s="10"/>
      <c r="F26" s="10"/>
      <c r="G26" s="10"/>
      <c r="H26" s="10"/>
      <c r="I26" s="11"/>
      <c r="J26" s="10"/>
      <c r="K26" s="10"/>
    </row>
    <row r="27" spans="2:11" ht="36" customHeight="1" x14ac:dyDescent="0.35">
      <c r="B27" s="12" t="s">
        <v>279</v>
      </c>
      <c r="C27" s="13"/>
      <c r="D27" s="13"/>
      <c r="E27" s="13"/>
      <c r="F27" s="13"/>
      <c r="G27" s="13"/>
      <c r="H27" s="13"/>
      <c r="I27" s="11"/>
      <c r="J27" s="13"/>
      <c r="K27" s="13"/>
    </row>
    <row r="28" spans="2:11" ht="36" customHeight="1" x14ac:dyDescent="0.35">
      <c r="B28" s="9" t="s">
        <v>280</v>
      </c>
      <c r="C28" s="10"/>
      <c r="D28" s="10"/>
      <c r="E28" s="10"/>
      <c r="F28" s="10"/>
      <c r="G28" s="10"/>
      <c r="H28" s="10"/>
      <c r="I28" s="11"/>
      <c r="J28" s="10"/>
      <c r="K28" s="10"/>
    </row>
    <row r="29" spans="2:11" ht="36" customHeight="1" x14ac:dyDescent="0.35">
      <c r="B29" s="12" t="s">
        <v>281</v>
      </c>
      <c r="C29" s="13"/>
      <c r="D29" s="13"/>
      <c r="E29" s="13"/>
      <c r="F29" s="13"/>
      <c r="G29" s="13"/>
      <c r="H29" s="13"/>
      <c r="I29" s="11"/>
      <c r="J29" s="13"/>
      <c r="K29" s="13"/>
    </row>
    <row r="30" spans="2:11" ht="36" customHeight="1" x14ac:dyDescent="0.35">
      <c r="B30" s="9" t="s">
        <v>282</v>
      </c>
      <c r="C30" s="10"/>
      <c r="D30" s="10"/>
      <c r="E30" s="10"/>
      <c r="F30" s="10"/>
      <c r="G30" s="10"/>
      <c r="H30" s="10"/>
      <c r="I30" s="11"/>
      <c r="J30" s="10"/>
      <c r="K30" s="10"/>
    </row>
    <row r="31" spans="2:11" ht="36" customHeight="1" x14ac:dyDescent="0.35">
      <c r="B31" s="12" t="s">
        <v>283</v>
      </c>
      <c r="C31" s="13"/>
      <c r="D31" s="13"/>
      <c r="E31" s="13"/>
      <c r="F31" s="13"/>
      <c r="G31" s="13"/>
      <c r="H31" s="13"/>
      <c r="I31" s="11"/>
      <c r="J31" s="13"/>
      <c r="K31" s="13"/>
    </row>
    <row r="32" spans="2:11" ht="36" customHeight="1" x14ac:dyDescent="0.35">
      <c r="B32" s="9" t="s">
        <v>284</v>
      </c>
      <c r="C32" s="10"/>
      <c r="D32" s="10"/>
      <c r="E32" s="10"/>
      <c r="F32" s="10"/>
      <c r="G32" s="10"/>
      <c r="H32" s="10"/>
      <c r="I32" s="11"/>
      <c r="J32" s="10"/>
      <c r="K32" s="10"/>
    </row>
    <row r="33" spans="2:11" ht="36" customHeight="1" x14ac:dyDescent="0.35">
      <c r="B33" s="12" t="s">
        <v>285</v>
      </c>
      <c r="C33" s="13"/>
      <c r="D33" s="13"/>
      <c r="E33" s="13"/>
      <c r="F33" s="13"/>
      <c r="G33" s="13"/>
      <c r="H33" s="13"/>
      <c r="I33" s="11"/>
      <c r="J33" s="13"/>
      <c r="K33" s="13"/>
    </row>
    <row r="34" spans="2:11" ht="36" customHeight="1" x14ac:dyDescent="0.35">
      <c r="B34" s="9" t="s">
        <v>286</v>
      </c>
      <c r="C34" s="10"/>
      <c r="D34" s="10"/>
      <c r="E34" s="10"/>
      <c r="F34" s="10"/>
      <c r="G34" s="10"/>
      <c r="H34" s="10"/>
      <c r="I34" s="11"/>
      <c r="J34" s="10"/>
      <c r="K34" s="10"/>
    </row>
    <row r="35" spans="2:11" ht="36" customHeight="1" x14ac:dyDescent="0.35">
      <c r="B35" s="12" t="s">
        <v>287</v>
      </c>
      <c r="C35" s="13"/>
      <c r="D35" s="13"/>
      <c r="E35" s="13"/>
      <c r="F35" s="13"/>
      <c r="G35" s="13"/>
      <c r="H35" s="13"/>
      <c r="I35" s="11"/>
      <c r="J35" s="13"/>
      <c r="K35" s="13"/>
    </row>
  </sheetData>
  <mergeCells count="3">
    <mergeCell ref="B3:E3"/>
    <mergeCell ref="B2:K2"/>
    <mergeCell ref="F3:K3"/>
  </mergeCells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20"/>
  <sheetViews>
    <sheetView showGridLines="0" zoomScaleNormal="100" workbookViewId="0">
      <selection activeCell="L13" sqref="L13"/>
    </sheetView>
  </sheetViews>
  <sheetFormatPr defaultColWidth="8.6328125" defaultRowHeight="14.5" x14ac:dyDescent="0.35"/>
  <cols>
    <col min="1" max="1" width="3" customWidth="1"/>
    <col min="2" max="2" width="34.6328125" customWidth="1"/>
    <col min="3" max="3" width="12.90625" customWidth="1"/>
    <col min="4" max="4" width="17.81640625" customWidth="1"/>
    <col min="5" max="5" width="8.36328125" customWidth="1"/>
    <col min="6" max="6" width="3" customWidth="1"/>
  </cols>
  <sheetData>
    <row r="2" spans="2:5" ht="36" customHeight="1" x14ac:dyDescent="0.35">
      <c r="B2" s="26" t="s">
        <v>262</v>
      </c>
      <c r="C2" s="26"/>
      <c r="D2" s="26"/>
      <c r="E2" s="26"/>
    </row>
    <row r="4" spans="2:5" ht="25.5" customHeight="1" x14ac:dyDescent="0.35">
      <c r="B4" s="27" t="s">
        <v>263</v>
      </c>
      <c r="C4" s="27"/>
      <c r="D4" s="27"/>
      <c r="E4" s="27"/>
    </row>
    <row r="6" spans="2:5" ht="31.5" customHeight="1" x14ac:dyDescent="0.35">
      <c r="B6" s="16" t="s">
        <v>264</v>
      </c>
      <c r="C6" s="28">
        <f>COUNTA('🖥 HARDWARE'!C6:C50)</f>
        <v>8</v>
      </c>
      <c r="D6" s="38"/>
      <c r="E6" s="37"/>
    </row>
    <row r="7" spans="2:5" ht="31.5" customHeight="1" x14ac:dyDescent="0.35">
      <c r="B7" s="16" t="s">
        <v>265</v>
      </c>
      <c r="C7" s="28">
        <f>COUNTA('💾 SOFTWARE'!C6:C50)</f>
        <v>8</v>
      </c>
      <c r="D7" s="38"/>
      <c r="E7" s="37"/>
    </row>
    <row r="8" spans="2:5" ht="31.5" customHeight="1" x14ac:dyDescent="0.35">
      <c r="B8" s="16" t="s">
        <v>266</v>
      </c>
      <c r="C8" s="28">
        <f>COUNTA('☁️ CLOUD E SAAS'!C6:C50)</f>
        <v>8</v>
      </c>
      <c r="D8" s="38"/>
      <c r="E8" s="37"/>
    </row>
    <row r="10" spans="2:5" ht="25.5" customHeight="1" x14ac:dyDescent="0.35">
      <c r="B10" s="22" t="s">
        <v>267</v>
      </c>
      <c r="C10" s="22"/>
      <c r="D10" s="22"/>
      <c r="E10" s="22"/>
    </row>
    <row r="12" spans="2:5" ht="31.5" customHeight="1" x14ac:dyDescent="0.35">
      <c r="B12" s="17" t="s">
        <v>268</v>
      </c>
      <c r="C12" s="20">
        <f>COUNTIF('🖥 HARDWARE'!I6:I50,"🔴 CRÍTICO")</f>
        <v>4</v>
      </c>
      <c r="D12" s="41"/>
      <c r="E12" s="42"/>
    </row>
    <row r="13" spans="2:5" ht="31.5" customHeight="1" x14ac:dyDescent="0.35">
      <c r="B13" s="18" t="s">
        <v>269</v>
      </c>
      <c r="C13" s="23">
        <f>COUNTIF('🖥 HARDWARE'!I6:I50,"🟠 ALTO")</f>
        <v>3</v>
      </c>
      <c r="D13" s="39"/>
      <c r="E13" s="40"/>
    </row>
    <row r="14" spans="2:5" ht="31.5" customHeight="1" x14ac:dyDescent="0.35">
      <c r="B14" s="19" t="s">
        <v>270</v>
      </c>
      <c r="C14" s="24">
        <f>COUNTIF('🖥 HARDWARE'!I6:I50,"🟡 MÉDIO")</f>
        <v>1</v>
      </c>
      <c r="D14" s="43"/>
      <c r="E14" s="44"/>
    </row>
    <row r="16" spans="2:5" ht="25.5" customHeight="1" x14ac:dyDescent="0.35">
      <c r="B16" s="25" t="s">
        <v>271</v>
      </c>
      <c r="C16" s="25"/>
      <c r="D16" s="25"/>
      <c r="E16" s="25"/>
    </row>
    <row r="18" spans="2:5" ht="31.5" customHeight="1" x14ac:dyDescent="0.35">
      <c r="B18" s="17" t="s">
        <v>272</v>
      </c>
      <c r="C18" s="20">
        <f>COUNTIF('☁️ CLOUD E SAAS'!K6:K50,"❌*")</f>
        <v>1</v>
      </c>
      <c r="D18" s="41"/>
      <c r="E18" s="42"/>
    </row>
    <row r="20" spans="2:5" ht="42" customHeight="1" x14ac:dyDescent="0.35">
      <c r="B20" s="21" t="s">
        <v>273</v>
      </c>
      <c r="C20" s="21"/>
      <c r="D20" s="21"/>
      <c r="E20" s="46"/>
    </row>
  </sheetData>
  <mergeCells count="12">
    <mergeCell ref="B2:E2"/>
    <mergeCell ref="B4:E4"/>
    <mergeCell ref="C6:E6"/>
    <mergeCell ref="C7:E7"/>
    <mergeCell ref="C8:E8"/>
    <mergeCell ref="B20:E20"/>
    <mergeCell ref="B10:E10"/>
    <mergeCell ref="B16:E16"/>
    <mergeCell ref="C12:E12"/>
    <mergeCell ref="C13:E13"/>
    <mergeCell ref="C14:E14"/>
    <mergeCell ref="C18:E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📋 INSTRUÇÕES</vt:lpstr>
      <vt:lpstr>🖥 HARDWARE</vt:lpstr>
      <vt:lpstr>💾 SOFTWARE</vt:lpstr>
      <vt:lpstr>☁️ CLOUD E SAAS</vt:lpstr>
      <vt:lpstr>📊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EMERSON LUIZ SANTOS</cp:lastModifiedBy>
  <cp:revision>0</cp:revision>
  <dcterms:created xsi:type="dcterms:W3CDTF">2026-03-06T11:44:37Z</dcterms:created>
  <dcterms:modified xsi:type="dcterms:W3CDTF">2026-03-12T21:39:18Z</dcterms:modified>
  <dc:language>en-US</dc:language>
</cp:coreProperties>
</file>