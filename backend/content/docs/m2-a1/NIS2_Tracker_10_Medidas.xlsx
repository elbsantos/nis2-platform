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2\Aula-1\"/>
    </mc:Choice>
  </mc:AlternateContent>
  <xr:revisionPtr revIDLastSave="0" documentId="13_ncr:1_{67A2A293-E10E-41E3-AC00-A2A83CD6986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📊 TRACKER 10 MEDIDAS" sheetId="1" r:id="rId1"/>
    <sheet name="🗓️ ROADMAP 90 DIAS" sheetId="2" r:id="rId2"/>
    <sheet name="📈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8" i="3"/>
  <c r="C7" i="3"/>
  <c r="C6" i="3"/>
  <c r="C5" i="3"/>
  <c r="E18" i="1"/>
</calcChain>
</file>

<file path=xl/sharedStrings.xml><?xml version="1.0" encoding="utf-8"?>
<sst xmlns="http://schemas.openxmlformats.org/spreadsheetml/2006/main" count="161" uniqueCount="140">
  <si>
    <t>TRACKER DE IMPLEMENTAÇÃO — 10 MEDIDAS TÉCNICAS NIS2  ·  Art. 21.º DL 125/2025</t>
  </si>
  <si>
    <t>Empresa: [Nome da Empresa]</t>
  </si>
  <si>
    <t>CISO: ___________________   Última revisão: ___/___/______   Próxima revisão: ___/___/______</t>
  </si>
  <si>
    <t>⚠️  Preencha as células AMARELAS. O Estado de cada medida usa dropdown. O Score de conformidade global é calculado automaticamente. Este documento é evidência central para auditoria CNCS — Art. 21.º NIS2.</t>
  </si>
  <si>
    <t>#</t>
  </si>
  <si>
    <t>Medida NIS2  (Art. 21.º)</t>
  </si>
  <si>
    <t>Acções Implementadas / Evidência</t>
  </si>
  <si>
    <t>Responsável</t>
  </si>
  <si>
    <t>Estado</t>
  </si>
  <si>
    <t>Prioridade</t>
  </si>
  <si>
    <t>Prazo
Implementação</t>
  </si>
  <si>
    <t>Ferramenta / Solução Utilizada</t>
  </si>
  <si>
    <t>Observações / Gaps Identificados</t>
  </si>
  <si>
    <t>POLÍTICAS DE ANÁLISE DE RISCO E SEGURANÇA DOS SISTEMAS</t>
  </si>
  <si>
    <t>Análise de risco anual documentada com metodologia (ISO 27005 ou CNCS). Inventário de ativos críticos actualizado. PSI aprovada e assinada pela gestão.</t>
  </si>
  <si>
    <t>CISO</t>
  </si>
  <si>
    <t>🔄 Em curso</t>
  </si>
  <si>
    <t>🔴 CRÍTICA</t>
  </si>
  <si>
    <t>Q1 2025</t>
  </si>
  <si>
    <t>Registo de Riscos (Excel Aula 1.3) + CNCS Risk Framework</t>
  </si>
  <si>
    <t>Base de todo o programa NIS2. Sem análise de risco documentada: incumprimento imediato.</t>
  </si>
  <si>
    <t>GESTÃO DE INCIDENTES
(Deteção, Contenção, Erradicação, Recuperação, Lições)</t>
  </si>
  <si>
    <t>IRP documentado e testado com tabletop semestral. EDR em todos os endpoints. Log de incidentes actualizado. Processo de notificação ao CNCS (24h/72h/1 mês) testado.</t>
  </si>
  <si>
    <t>CISO + TI</t>
  </si>
  <si>
    <t>EDR: Microsoft Defender / Sophos Intercept X. IRP: Template Aula 2.2</t>
  </si>
  <si>
    <t>IRP deve incluir cadeia de comando clara e contactos CNCS/PJ actualizados.</t>
  </si>
  <si>
    <t>CONTINUIDADE DE NEGÓCIO E RECUPERAÇÃO DE DESASTRES
(BCP/DRP, Backup 3-2-1, Testes RTO/RPO)</t>
  </si>
  <si>
    <t>Backup 3-2-1 com imutabilidade configurado e testado trimestralmente. BCP com RTO e RPO definidos e aprovados. DRP com procedimentos de restauro documentados.</t>
  </si>
  <si>
    <t>TI + CISO</t>
  </si>
  <si>
    <t>⚠️ Parcialmente</t>
  </si>
  <si>
    <t>30 dias</t>
  </si>
  <si>
    <t>Veeam Backup / Azure Backup / Acronis. NAS local + Cloud (Azure/AWS)</t>
  </si>
  <si>
    <t>Testar restauro completo com registo de RTO real. Meta: RTO ≤ 4h para sistemas críticos.</t>
  </si>
  <si>
    <t>SEGURANÇA NA AQUISIÇÃO, DESENVOLVIMENTO E MANUTENÇÃO
(Patches, Higiene de Rede, End-of-Life)</t>
  </si>
  <si>
    <t>Processo de gestão de patches com prazos por CVSS. Inventário de EOL. NGFW configurado. VLANs segmentadas. Protocolos inseguros desactivados (SMBv1, Telnet).</t>
  </si>
  <si>
    <t>TI</t>
  </si>
  <si>
    <t>45 dias</t>
  </si>
  <si>
    <t>Windows Update for Business / WSUS. Sophos/Fortinet NGFW. Nessus Essentials (scan)</t>
  </si>
  <si>
    <t>Identificar e substituir sistemas EOL (Windows 7/8, routers antigos sem firmware).</t>
  </si>
  <si>
    <t>CRIPTOGRAFIA E CONTROLO DE ACESSOS
(BitLocker, TLS, Princípio do Menor Privilégio)</t>
  </si>
  <si>
    <t>BitLocker/FileVault activo em todos os portáteis. TLS 1.2+ em todas as comunicações. Princípio do menor privilégio aplicado. Revisão trimestral de acessos documentada.</t>
  </si>
  <si>
    <t>🟠 ALTA</t>
  </si>
  <si>
    <t>Microsoft Intune (BitLocker). Microsoft Entra ID (IAM). Certificados TLS: Let's Encrypt</t>
  </si>
  <si>
    <t>Auditar contas com privilégios excessivos. Revogar contas de ex-colaboradores pendentes.</t>
  </si>
  <si>
    <t>SEGURANÇA DAS OPERAÇÕES DE REDE
(Monitorização Logs, Protecção Malware, Segmentação)</t>
  </si>
  <si>
    <t>Logs de segurança retidos ≥12 meses. SIEM ou monitorização activa de alertas críticos. Next-Gen AV/EDR activo em 100% dos endpoints. Wi-Fi segmentado (WPA3, rede visitantes separada).</t>
  </si>
  <si>
    <t>60 dias</t>
  </si>
  <si>
    <t>Microsoft Sentinel (SIEM). Defender for Endpoint. Sophos XGS (NGFW+IPS)</t>
  </si>
  <si>
    <t>Implementar alerta automático para anomalias de login fora do horário e geolocalização.</t>
  </si>
  <si>
    <t>FORMAÇÃO EM CIBERSEGURANÇA E HIGIENE CIBERNÉTICA
(Sensibilização, Phishing, Boas Práticas)</t>
  </si>
  <si>
    <t>Formação anual para 100% dos colaboradores com lista de presenças. Simulações de phishing trimestrais com resultado documentado. Checklist de Higiene Cibernética assinada por todos.</t>
  </si>
  <si>
    <t>CISO + RH</t>
  </si>
  <si>
    <t>KnowBe4 / Proofpoint Security Awareness / C-Academy (CNCS gratuito)</t>
  </si>
  <si>
    <t>Meta: taxa de cliques em phishing &lt; 5%. Formação gestão de topo obrigatória (Art. 20.º NIS2).</t>
  </si>
  <si>
    <t>AUTENTICAÇÃO MULTIFACTOR (MFA) E COMUNICAÇÕES SEGURAS</t>
  </si>
  <si>
    <t>MFA activado em 100% das contas (email, VPN, ERP, cloud, contas admin). SMS MFA substituído por Authenticator App. MDM para dispositivos móveis corporativos.</t>
  </si>
  <si>
    <t>15 dias</t>
  </si>
  <si>
    <t>Microsoft Authenticator / Entra ID. Microsoft Intune (MDM). Cisco Duo (alternativa)</t>
  </si>
  <si>
    <t>PRIORIDADE MÁXIMA: MFA é a medida com maior ROI. Sem MFA: 99% dos ataques de conta bem-sucedidos.</t>
  </si>
  <si>
    <t>SEGURANÇA DA CADEIA DE ABASTECIMENTO
(TPRM, Avaliação Fornecedores, Cláusulas NIS2)</t>
  </si>
  <si>
    <t>Inventário TPRM actualizado. Fornecedores críticos avaliados com questionário DD. Contratos com cláusulas NIS2 (notificação 24h, auditoria, exit strategy). Exit strategy documentada.</t>
  </si>
  <si>
    <t>CISO + Jurídico</t>
  </si>
  <si>
    <t>90 dias</t>
  </si>
  <si>
    <t>Inventário Fornecedores TPRM (Excel Aula 1.4). Template Cláusulas (Word Aula 1.4)</t>
  </si>
  <si>
    <t>Prioridade: MSP e fornecedores com acesso remoto. Iniciar por F02 (MSP) e F06 (RH).</t>
  </si>
  <si>
    <t>DIVULGAÇÃO DE VULNERABILIDADES E POLÍTICAS DE GESTÃO
(CVE Tracking, Patch SLA, Responsible Disclosure)</t>
  </si>
  <si>
    <t>Subscrição de alertas CVE (CERT.PT, CISA). SLA de patch por CVSS (Crítico ≤48h, Alto ≤1 semana). Processo de scan de vulnerabilidades trimestral. Política de responsible disclosure se aplicável.</t>
  </si>
  <si>
    <t>🔴 Não implementado</t>
  </si>
  <si>
    <t>🟡 MÉDIA</t>
  </si>
  <si>
    <t>Q2 2025</t>
  </si>
  <si>
    <t>CERT.PT alerts (cert.pt). CISA KEV list. Nessus Essentials / Qualys FreeScan (gratuito)</t>
  </si>
  <si>
    <t>Subscrever alertas CERT.PT imediatamente (gratuito). Implementar processo de patch management formal.</t>
  </si>
  <si>
    <t>📊  SCORE DE CONFORMIDADE GLOBAL:</t>
  </si>
  <si>
    <t>ROADMAP DE IMPLEMENTAÇÃO NIS2 — 90 DIAS</t>
  </si>
  <si>
    <t>Medida NIS2</t>
  </si>
  <si>
    <t>Acção Concreta</t>
  </si>
  <si>
    <t>Semanas 1-2
(IMEDIATO)</t>
  </si>
  <si>
    <t>Meses 1-2
(CURTO PRAZO)</t>
  </si>
  <si>
    <t>Meses 2-3
(MÉDIO PRAZO)</t>
  </si>
  <si>
    <t>MFA — Medida 8</t>
  </si>
  <si>
    <t>Activar MFA em email, VPN e sistemas críticos para 100% utilizadores</t>
  </si>
  <si>
    <t>✅ Activar M365 MFA
para todos</t>
  </si>
  <si>
    <t>Expandir a todos
os sistemas cloud</t>
  </si>
  <si>
    <t>MDM para móveis</t>
  </si>
  <si>
    <t>Backup 3-2-1 — Medida 3</t>
  </si>
  <si>
    <t>Configurar backup imutável e testar restauro completo</t>
  </si>
  <si>
    <t>Verificar estado
backup actual</t>
  </si>
  <si>
    <t>✅ Configurar
imutabilidade Azure</t>
  </si>
  <si>
    <t>Teste restauro
c/ RTO medido</t>
  </si>
  <si>
    <t>Gestão Incidentes — Medida 2</t>
  </si>
  <si>
    <t>Redigir e testar IRP com tabletop exercise</t>
  </si>
  <si>
    <t>Nomear equipa
de resposta</t>
  </si>
  <si>
    <t>✅ Redigir IRP
e testar</t>
  </si>
  <si>
    <t>Tabletop exercise
semestral</t>
  </si>
  <si>
    <t>Patches — Medida 4</t>
  </si>
  <si>
    <t>Implementar processo de patch com SLA por CVSS</t>
  </si>
  <si>
    <t>Audit patches
pendentes</t>
  </si>
  <si>
    <t>✅ Aplicar todos
CVSS≥9 em 48h</t>
  </si>
  <si>
    <t>Processo mensal
formalizado</t>
  </si>
  <si>
    <t>Análise Risco — Medida 1</t>
  </si>
  <si>
    <t>Completar análise de risco anual e actualizar Registo</t>
  </si>
  <si>
    <t>Workshop risco
com gestão</t>
  </si>
  <si>
    <t>✅ Registo Riscos
actualizado</t>
  </si>
  <si>
    <t>Aprovação PSI
pela gestão</t>
  </si>
  <si>
    <t>Logs/Monitorização — Medida 6</t>
  </si>
  <si>
    <t>Activar retenção de logs ≥12 meses e alertas críticos</t>
  </si>
  <si>
    <t>Verificar logs
existentes</t>
  </si>
  <si>
    <t>✅ Configurar
retenção 12M</t>
  </si>
  <si>
    <t>SIEM básico
(Sentinel Free)</t>
  </si>
  <si>
    <t>Formação — Medida 7</t>
  </si>
  <si>
    <t>Sessão de sensibilização para todos + simulação phishing</t>
  </si>
  <si>
    <t>Agendar sessão
formação geral</t>
  </si>
  <si>
    <t>✅ Formação 100%
colaboradores</t>
  </si>
  <si>
    <t>Simulação phishing
trimestral</t>
  </si>
  <si>
    <t>Criptografia — Medida 5</t>
  </si>
  <si>
    <t>BitLocker em todos os portáteis e revisão de acessos</t>
  </si>
  <si>
    <t>Inventariar
portáteis s/ encript.</t>
  </si>
  <si>
    <t>✅ BitLocker
em todos</t>
  </si>
  <si>
    <t>Revisão acessos
trimestral</t>
  </si>
  <si>
    <t>TPRM — Medida 9</t>
  </si>
  <si>
    <t>Due diligence dos 3 fornecedores críticos prioritários</t>
  </si>
  <si>
    <t>Enviar quest. DD
ao MSP (F02)</t>
  </si>
  <si>
    <t>✅ Cláusulas NIS2
nos contratos</t>
  </si>
  <si>
    <t>Exit strategy
documentada</t>
  </si>
  <si>
    <t>CVE/Patches — Medida 10</t>
  </si>
  <si>
    <t>Subscrever alertas CERT.PT e processo de gestão CVE</t>
  </si>
  <si>
    <t>✅ Subscrever
CERT.PT (gratuito)</t>
  </si>
  <si>
    <t>Scan vulnerab.
Nessus Essentials</t>
  </si>
  <si>
    <t>SLA patches
formalizado</t>
  </si>
  <si>
    <t>DASHBOARD — ESTADO DE CONFORMIDADE NIS2</t>
  </si>
  <si>
    <t>📊 SCORE GERAL</t>
  </si>
  <si>
    <t>Medidas IMPLEMENTADAS ✅</t>
  </si>
  <si>
    <t>Medidas EM CURSO 🔄</t>
  </si>
  <si>
    <t>Medidas PARCIAIS ⚠️</t>
  </si>
  <si>
    <t>Medidas NÃO IMPLEMENTADAS 🔴</t>
  </si>
  <si>
    <t>🔴 PRIORIDADES CRÍTICAS</t>
  </si>
  <si>
    <t>Medidas de PRIORIDADE CRÍTICA</t>
  </si>
  <si>
    <t>Prioridade CRÍTICA ainda não implementadas</t>
  </si>
  <si>
    <t>ℹ️  Para actualizar este dashboard, preencha o Estado de cada medida no separador '📊 TRACKER 10 MEDIDAS'. Os valores são calculados automaticamente.</t>
  </si>
  <si>
    <t>✅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</si>
</sst>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F3864"/>
      <name val="Arial"/>
    </font>
    <font>
      <b/>
      <sz val="9"/>
      <color rgb="FF9B0000"/>
      <name val="Arial"/>
    </font>
    <font>
      <sz val="9"/>
      <color rgb="FF7B5000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b/>
      <sz val="9"/>
      <color rgb="FF1F3864"/>
      <name val="Arial"/>
    </font>
    <font>
      <sz val="8"/>
      <color rgb="FF3D3D3D"/>
      <name val="Arial"/>
    </font>
    <font>
      <b/>
      <sz val="9"/>
      <color rgb="FF7B5000"/>
      <name val="Arial"/>
    </font>
    <font>
      <i/>
      <sz val="8"/>
      <color rgb="FF1A5C38"/>
      <name val="Arial"/>
    </font>
    <font>
      <i/>
      <sz val="8"/>
      <color rgb="FF9B0000"/>
      <name val="Arial"/>
    </font>
    <font>
      <b/>
      <sz val="9"/>
      <color rgb="FFC55A11"/>
      <name val="Arial"/>
    </font>
    <font>
      <i/>
      <sz val="8"/>
      <color rgb="FF7F7F7F"/>
      <name val="Arial"/>
    </font>
    <font>
      <b/>
      <sz val="11"/>
      <color rgb="FF1F3864"/>
      <name val="Arial"/>
    </font>
    <font>
      <b/>
      <sz val="13"/>
      <color rgb="FF1F3864"/>
      <name val="Arial"/>
    </font>
    <font>
      <b/>
      <sz val="13"/>
      <color rgb="FFFFFFFF"/>
      <name val="Arial"/>
    </font>
    <font>
      <sz val="9"/>
      <color rgb="FF3D3D3D"/>
      <name val="Arial"/>
    </font>
    <font>
      <sz val="9"/>
      <color rgb="FF1F3864"/>
      <name val="Arial"/>
    </font>
    <font>
      <sz val="9"/>
      <color rgb="FF1A5C38"/>
      <name val="Arial"/>
    </font>
    <font>
      <b/>
      <sz val="9"/>
      <color rgb="FF1A5C38"/>
      <name val="Arial"/>
    </font>
    <font>
      <sz val="10"/>
      <color rgb="FF3D3D3D"/>
      <name val="Arial"/>
    </font>
    <font>
      <b/>
      <sz val="14"/>
      <color rgb="FF1A5C38"/>
      <name val="Arial"/>
    </font>
    <font>
      <b/>
      <sz val="14"/>
      <color rgb="FF7B5000"/>
      <name val="Arial"/>
    </font>
    <font>
      <b/>
      <sz val="14"/>
      <color rgb="FFC55A11"/>
      <name val="Arial"/>
    </font>
    <font>
      <b/>
      <sz val="14"/>
      <color rgb="FF9B0000"/>
      <name val="Arial"/>
    </font>
    <font>
      <b/>
      <sz val="11"/>
      <color rgb="FF9B0000"/>
      <name val="Arial"/>
    </font>
    <font>
      <i/>
      <sz val="9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3CD"/>
      </patternFill>
    </fill>
    <fill>
      <patternFill patternType="solid">
        <fgColor rgb="FFFDECEA"/>
      </patternFill>
    </fill>
    <fill>
      <patternFill patternType="solid">
        <fgColor rgb="FF9B000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7B5000"/>
      </patternFill>
    </fill>
    <fill>
      <patternFill patternType="solid">
        <fgColor rgb="FFE2F0EA"/>
      </patternFill>
    </fill>
  </fills>
  <borders count="14">
    <border>
      <left/>
      <right/>
      <top/>
      <bottom/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1F3864"/>
      </top>
      <bottom style="thin">
        <color rgb="FFCCCCCC"/>
      </bottom>
      <diagonal/>
    </border>
    <border>
      <left/>
      <right style="thin">
        <color rgb="FFCCCCCC"/>
      </right>
      <top style="thin">
        <color rgb="FF1F3864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C07A00"/>
      </top>
      <bottom style="thin">
        <color rgb="FFC07A00"/>
      </bottom>
      <diagonal/>
    </border>
    <border>
      <left/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horizontal="left" vertical="center" wrapText="1"/>
    </xf>
    <xf numFmtId="0" fontId="19" fillId="12" borderId="3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20" fillId="12" borderId="3" xfId="0" applyFont="1" applyFill="1" applyBorder="1" applyAlignment="1">
      <alignment horizontal="left" vertical="center" wrapText="1"/>
    </xf>
    <xf numFmtId="0" fontId="21" fillId="12" borderId="3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0" fontId="21" fillId="9" borderId="3" xfId="0" applyFont="1" applyFill="1" applyBorder="1" applyAlignment="1">
      <alignment horizontal="left" vertical="center"/>
    </xf>
    <xf numFmtId="0" fontId="21" fillId="4" borderId="3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 wrapText="1"/>
    </xf>
    <xf numFmtId="0" fontId="17" fillId="7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9" fillId="12" borderId="5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left" vertical="center"/>
    </xf>
    <xf numFmtId="0" fontId="27" fillId="6" borderId="4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22" fillId="12" borderId="8" xfId="0" applyFont="1" applyFill="1" applyBorder="1" applyAlignment="1">
      <alignment horizontal="center" vertical="center"/>
    </xf>
    <xf numFmtId="0" fontId="22" fillId="12" borderId="9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9" borderId="9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7" xfId="0" applyBorder="1"/>
  </cellXfs>
  <cellStyles count="1">
    <cellStyle name="Normal" xfId="0" builtinId="0"/>
  </cellStyles>
  <dxfs count="2">
    <dxf>
      <font>
        <b/>
        <sz val="10"/>
        <color rgb="FF9B0000"/>
        <name val="Arial"/>
      </font>
      <fill>
        <patternFill patternType="solid">
          <fgColor rgb="FFFDECEA"/>
        </patternFill>
      </fill>
    </dxf>
    <dxf>
      <font>
        <b/>
        <sz val="10"/>
        <color rgb="FF1A5C38"/>
        <name val="Arial"/>
      </font>
      <fill>
        <patternFill patternType="solid">
          <fgColor rgb="FFE2F0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showGridLines="0" workbookViewId="0">
      <pane ySplit="7" topLeftCell="A8" activePane="bottomLeft" state="frozen"/>
      <selection pane="bottomLeft" activeCell="F8" sqref="F8"/>
    </sheetView>
  </sheetViews>
  <sheetFormatPr defaultRowHeight="14.5" x14ac:dyDescent="0.35"/>
  <cols>
    <col min="1" max="1" width="3" customWidth="1"/>
    <col min="2" max="2" width="6" customWidth="1"/>
    <col min="3" max="4" width="28" customWidth="1"/>
    <col min="5" max="5" width="14" customWidth="1"/>
    <col min="6" max="6" width="18.7265625" customWidth="1"/>
    <col min="7" max="7" width="14" customWidth="1"/>
    <col min="8" max="8" width="16" customWidth="1"/>
    <col min="9" max="9" width="22" customWidth="1"/>
    <col min="10" max="10" width="18" customWidth="1"/>
    <col min="11" max="11" width="3" customWidth="1"/>
  </cols>
  <sheetData>
    <row r="2" spans="2:10" ht="34" customHeight="1" x14ac:dyDescent="0.35">
      <c r="B2" s="40" t="s">
        <v>0</v>
      </c>
      <c r="C2" s="41"/>
      <c r="D2" s="41"/>
      <c r="E2" s="41"/>
      <c r="F2" s="41"/>
      <c r="G2" s="41"/>
      <c r="H2" s="41"/>
      <c r="I2" s="41"/>
      <c r="J2" s="41"/>
    </row>
    <row r="3" spans="2:10" ht="20" customHeight="1" x14ac:dyDescent="0.35">
      <c r="B3" s="44" t="s">
        <v>1</v>
      </c>
      <c r="C3" s="41"/>
      <c r="D3" s="41"/>
      <c r="E3" s="41"/>
      <c r="F3" s="41"/>
      <c r="G3" s="43" t="s">
        <v>2</v>
      </c>
      <c r="H3" s="41"/>
      <c r="I3" s="41"/>
      <c r="J3" s="41"/>
    </row>
    <row r="5" spans="2:10" ht="28" customHeight="1" x14ac:dyDescent="0.35">
      <c r="B5" s="42" t="s">
        <v>3</v>
      </c>
      <c r="C5" s="65"/>
      <c r="D5" s="65"/>
      <c r="E5" s="65"/>
      <c r="F5" s="65"/>
      <c r="G5" s="65"/>
      <c r="H5" s="65"/>
      <c r="I5" s="65"/>
      <c r="J5" s="66"/>
    </row>
    <row r="7" spans="2:10" ht="40" customHeight="1" x14ac:dyDescent="0.35"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2:10" ht="56" customHeight="1" x14ac:dyDescent="0.35">
      <c r="B8" s="2">
        <v>1</v>
      </c>
      <c r="C8" s="3" t="s">
        <v>13</v>
      </c>
      <c r="D8" s="4" t="s">
        <v>14</v>
      </c>
      <c r="E8" s="5" t="s">
        <v>15</v>
      </c>
      <c r="F8" s="6" t="s">
        <v>139</v>
      </c>
      <c r="G8" s="7" t="s">
        <v>17</v>
      </c>
      <c r="H8" s="6" t="s">
        <v>18</v>
      </c>
      <c r="I8" s="8" t="s">
        <v>19</v>
      </c>
      <c r="J8" s="9" t="s">
        <v>20</v>
      </c>
    </row>
    <row r="9" spans="2:10" ht="56" customHeight="1" x14ac:dyDescent="0.35">
      <c r="B9" s="2">
        <v>2</v>
      </c>
      <c r="C9" s="3" t="s">
        <v>21</v>
      </c>
      <c r="D9" s="10" t="s">
        <v>22</v>
      </c>
      <c r="E9" s="11" t="s">
        <v>23</v>
      </c>
      <c r="F9" s="6" t="s">
        <v>16</v>
      </c>
      <c r="G9" s="7" t="s">
        <v>17</v>
      </c>
      <c r="H9" s="6" t="s">
        <v>18</v>
      </c>
      <c r="I9" s="12" t="s">
        <v>24</v>
      </c>
      <c r="J9" s="9" t="s">
        <v>25</v>
      </c>
    </row>
    <row r="10" spans="2:10" ht="56" customHeight="1" x14ac:dyDescent="0.35">
      <c r="B10" s="2">
        <v>3</v>
      </c>
      <c r="C10" s="3" t="s">
        <v>26</v>
      </c>
      <c r="D10" s="4" t="s">
        <v>27</v>
      </c>
      <c r="E10" s="5" t="s">
        <v>28</v>
      </c>
      <c r="F10" s="13" t="s">
        <v>29</v>
      </c>
      <c r="G10" s="7" t="s">
        <v>17</v>
      </c>
      <c r="H10" s="6" t="s">
        <v>30</v>
      </c>
      <c r="I10" s="8" t="s">
        <v>31</v>
      </c>
      <c r="J10" s="9" t="s">
        <v>32</v>
      </c>
    </row>
    <row r="11" spans="2:10" ht="56" customHeight="1" x14ac:dyDescent="0.35">
      <c r="B11" s="2">
        <v>4</v>
      </c>
      <c r="C11" s="3" t="s">
        <v>33</v>
      </c>
      <c r="D11" s="10" t="s">
        <v>34</v>
      </c>
      <c r="E11" s="11" t="s">
        <v>35</v>
      </c>
      <c r="F11" s="13" t="s">
        <v>29</v>
      </c>
      <c r="G11" s="7" t="s">
        <v>17</v>
      </c>
      <c r="H11" s="6" t="s">
        <v>36</v>
      </c>
      <c r="I11" s="12" t="s">
        <v>37</v>
      </c>
      <c r="J11" s="9" t="s">
        <v>38</v>
      </c>
    </row>
    <row r="12" spans="2:10" ht="56" customHeight="1" x14ac:dyDescent="0.35">
      <c r="B12" s="14">
        <v>5</v>
      </c>
      <c r="C12" s="15" t="s">
        <v>39</v>
      </c>
      <c r="D12" s="4" t="s">
        <v>40</v>
      </c>
      <c r="E12" s="5" t="s">
        <v>28</v>
      </c>
      <c r="F12" s="6" t="s">
        <v>16</v>
      </c>
      <c r="G12" s="13" t="s">
        <v>41</v>
      </c>
      <c r="H12" s="6" t="s">
        <v>18</v>
      </c>
      <c r="I12" s="8" t="s">
        <v>42</v>
      </c>
      <c r="J12" s="16" t="s">
        <v>43</v>
      </c>
    </row>
    <row r="13" spans="2:10" ht="56" customHeight="1" x14ac:dyDescent="0.35">
      <c r="B13" s="14">
        <v>6</v>
      </c>
      <c r="C13" s="17" t="s">
        <v>44</v>
      </c>
      <c r="D13" s="10" t="s">
        <v>45</v>
      </c>
      <c r="E13" s="11" t="s">
        <v>35</v>
      </c>
      <c r="F13" s="13" t="s">
        <v>29</v>
      </c>
      <c r="G13" s="13" t="s">
        <v>41</v>
      </c>
      <c r="H13" s="6" t="s">
        <v>46</v>
      </c>
      <c r="I13" s="12" t="s">
        <v>47</v>
      </c>
      <c r="J13" s="18" t="s">
        <v>48</v>
      </c>
    </row>
    <row r="14" spans="2:10" ht="56" customHeight="1" x14ac:dyDescent="0.35">
      <c r="B14" s="14">
        <v>7</v>
      </c>
      <c r="C14" s="15" t="s">
        <v>49</v>
      </c>
      <c r="D14" s="4" t="s">
        <v>50</v>
      </c>
      <c r="E14" s="5" t="s">
        <v>51</v>
      </c>
      <c r="F14" s="6" t="s">
        <v>16</v>
      </c>
      <c r="G14" s="13" t="s">
        <v>41</v>
      </c>
      <c r="H14" s="6" t="s">
        <v>18</v>
      </c>
      <c r="I14" s="8" t="s">
        <v>52</v>
      </c>
      <c r="J14" s="16" t="s">
        <v>53</v>
      </c>
    </row>
    <row r="15" spans="2:10" ht="56" customHeight="1" x14ac:dyDescent="0.35">
      <c r="B15" s="2">
        <v>8</v>
      </c>
      <c r="C15" s="3" t="s">
        <v>54</v>
      </c>
      <c r="D15" s="10" t="s">
        <v>55</v>
      </c>
      <c r="E15" s="11" t="s">
        <v>28</v>
      </c>
      <c r="F15" s="6" t="s">
        <v>16</v>
      </c>
      <c r="G15" s="7" t="s">
        <v>17</v>
      </c>
      <c r="H15" s="6" t="s">
        <v>56</v>
      </c>
      <c r="I15" s="12" t="s">
        <v>57</v>
      </c>
      <c r="J15" s="9" t="s">
        <v>58</v>
      </c>
    </row>
    <row r="16" spans="2:10" ht="63.5" customHeight="1" x14ac:dyDescent="0.35">
      <c r="B16" s="14">
        <v>9</v>
      </c>
      <c r="C16" s="15" t="s">
        <v>59</v>
      </c>
      <c r="D16" s="4" t="s">
        <v>60</v>
      </c>
      <c r="E16" s="5" t="s">
        <v>61</v>
      </c>
      <c r="F16" s="13" t="s">
        <v>29</v>
      </c>
      <c r="G16" s="13" t="s">
        <v>41</v>
      </c>
      <c r="H16" s="6" t="s">
        <v>62</v>
      </c>
      <c r="I16" s="8" t="s">
        <v>63</v>
      </c>
      <c r="J16" s="16" t="s">
        <v>64</v>
      </c>
    </row>
    <row r="17" spans="2:10" ht="61.5" customHeight="1" x14ac:dyDescent="0.35">
      <c r="B17" s="19">
        <v>10</v>
      </c>
      <c r="C17" s="17" t="s">
        <v>65</v>
      </c>
      <c r="D17" s="10" t="s">
        <v>66</v>
      </c>
      <c r="E17" s="11" t="s">
        <v>28</v>
      </c>
      <c r="F17" s="7" t="s">
        <v>67</v>
      </c>
      <c r="G17" s="6" t="s">
        <v>68</v>
      </c>
      <c r="H17" s="6" t="s">
        <v>69</v>
      </c>
      <c r="I17" s="12" t="s">
        <v>70</v>
      </c>
      <c r="J17" s="18" t="s">
        <v>71</v>
      </c>
    </row>
    <row r="18" spans="2:10" ht="32" customHeight="1" x14ac:dyDescent="0.35">
      <c r="B18" s="46" t="s">
        <v>72</v>
      </c>
      <c r="C18" s="67"/>
      <c r="D18" s="68"/>
      <c r="E18" s="45" t="str">
        <f>TEXT(COUNTIF(F8:F17,"✅ Implementado")/10,"0%") &amp; " (" &amp; COUNTIF(F8:F17,"✅ Implementado") &amp; "/10 medidas implementadas)"</f>
        <v>10% (1/10 medidas implementadas)</v>
      </c>
      <c r="F18" s="67"/>
      <c r="G18" s="67"/>
      <c r="H18" s="67"/>
      <c r="I18" s="67"/>
      <c r="J18" s="68"/>
    </row>
  </sheetData>
  <mergeCells count="6">
    <mergeCell ref="B2:J2"/>
    <mergeCell ref="B5:J5"/>
    <mergeCell ref="G3:J3"/>
    <mergeCell ref="B3:F3"/>
    <mergeCell ref="E18:J18"/>
    <mergeCell ref="B18:D18"/>
  </mergeCells>
  <conditionalFormatting sqref="F8:F20">
    <cfRule type="cellIs" dxfId="1" priority="1" operator="equal">
      <formula>"✅ Implementado"</formula>
    </cfRule>
    <cfRule type="cellIs" dxfId="0" priority="2" operator="equal">
      <formula>"🔴 Não implementado"</formula>
    </cfRule>
  </conditionalFormatting>
  <dataValidations count="2">
    <dataValidation type="list" allowBlank="1" sqref="F8:F30" xr:uid="{00000000-0002-0000-0000-000000000000}">
      <formula1>"✅ Implementado,🔄 Em curso,⚠️ Parcialmente,🔴 Não implementado,— N/A"</formula1>
    </dataValidation>
    <dataValidation type="list" allowBlank="1" sqref="G8:G30" xr:uid="{00000000-0002-0000-0000-000001000000}">
      <formula1>"🔴 CRÍTICA,🟠 ALTA,🟡 MÉDIA,🟢 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tabSelected="1" workbookViewId="0">
      <selection activeCell="N4" sqref="N4"/>
    </sheetView>
  </sheetViews>
  <sheetFormatPr defaultRowHeight="14.5" x14ac:dyDescent="0.35"/>
  <cols>
    <col min="1" max="1" width="3" customWidth="1"/>
    <col min="2" max="2" width="18.08984375" customWidth="1"/>
    <col min="3" max="3" width="28" customWidth="1"/>
    <col min="4" max="4" width="22" customWidth="1"/>
    <col min="5" max="7" width="16" customWidth="1"/>
    <col min="8" max="8" width="3" customWidth="1"/>
  </cols>
  <sheetData>
    <row r="2" spans="2:7" ht="34" customHeight="1" x14ac:dyDescent="0.35">
      <c r="B2" s="47" t="s">
        <v>73</v>
      </c>
      <c r="C2" s="41"/>
      <c r="D2" s="41"/>
      <c r="E2" s="41"/>
      <c r="F2" s="41"/>
      <c r="G2" s="41"/>
    </row>
    <row r="4" spans="2:7" ht="36" customHeight="1" x14ac:dyDescent="0.35">
      <c r="B4" s="1" t="s">
        <v>9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</row>
    <row r="5" spans="2:7" ht="46" customHeight="1" x14ac:dyDescent="0.35">
      <c r="B5" s="32" t="s">
        <v>79</v>
      </c>
      <c r="C5" s="33" t="s">
        <v>80</v>
      </c>
      <c r="D5" s="34" t="s">
        <v>81</v>
      </c>
      <c r="E5" s="35" t="s">
        <v>82</v>
      </c>
      <c r="F5" s="36" t="s">
        <v>83</v>
      </c>
      <c r="G5" s="37"/>
    </row>
    <row r="6" spans="2:7" ht="46" customHeight="1" x14ac:dyDescent="0.35">
      <c r="B6" s="20" t="s">
        <v>84</v>
      </c>
      <c r="C6" s="21" t="s">
        <v>85</v>
      </c>
      <c r="D6" s="22" t="s">
        <v>86</v>
      </c>
      <c r="E6" s="23" t="s">
        <v>87</v>
      </c>
      <c r="F6" s="24" t="s">
        <v>88</v>
      </c>
      <c r="G6" s="38"/>
    </row>
    <row r="7" spans="2:7" ht="46" customHeight="1" x14ac:dyDescent="0.35">
      <c r="B7" s="20" t="s">
        <v>89</v>
      </c>
      <c r="C7" s="21" t="s">
        <v>90</v>
      </c>
      <c r="D7" s="22" t="s">
        <v>91</v>
      </c>
      <c r="E7" s="23" t="s">
        <v>92</v>
      </c>
      <c r="F7" s="24" t="s">
        <v>93</v>
      </c>
      <c r="G7" s="38"/>
    </row>
    <row r="8" spans="2:7" ht="46" customHeight="1" x14ac:dyDescent="0.35">
      <c r="B8" s="20" t="s">
        <v>94</v>
      </c>
      <c r="C8" s="21" t="s">
        <v>95</v>
      </c>
      <c r="D8" s="22" t="s">
        <v>96</v>
      </c>
      <c r="E8" s="23" t="s">
        <v>97</v>
      </c>
      <c r="F8" s="24" t="s">
        <v>98</v>
      </c>
      <c r="G8" s="38"/>
    </row>
    <row r="9" spans="2:7" ht="46" customHeight="1" x14ac:dyDescent="0.35">
      <c r="B9" s="25" t="s">
        <v>99</v>
      </c>
      <c r="C9" s="21" t="s">
        <v>100</v>
      </c>
      <c r="D9" s="22" t="s">
        <v>101</v>
      </c>
      <c r="E9" s="23" t="s">
        <v>102</v>
      </c>
      <c r="F9" s="24" t="s">
        <v>103</v>
      </c>
      <c r="G9" s="38"/>
    </row>
    <row r="10" spans="2:7" ht="46" customHeight="1" x14ac:dyDescent="0.35">
      <c r="B10" s="25" t="s">
        <v>104</v>
      </c>
      <c r="C10" s="21" t="s">
        <v>105</v>
      </c>
      <c r="D10" s="22" t="s">
        <v>106</v>
      </c>
      <c r="E10" s="23" t="s">
        <v>107</v>
      </c>
      <c r="F10" s="24" t="s">
        <v>108</v>
      </c>
      <c r="G10" s="38"/>
    </row>
    <row r="11" spans="2:7" ht="46" customHeight="1" x14ac:dyDescent="0.35">
      <c r="B11" s="26" t="s">
        <v>109</v>
      </c>
      <c r="C11" s="21" t="s">
        <v>110</v>
      </c>
      <c r="D11" s="22" t="s">
        <v>111</v>
      </c>
      <c r="E11" s="23" t="s">
        <v>112</v>
      </c>
      <c r="F11" s="24" t="s">
        <v>113</v>
      </c>
      <c r="G11" s="38"/>
    </row>
    <row r="12" spans="2:7" ht="46" customHeight="1" x14ac:dyDescent="0.35">
      <c r="B12" s="26" t="s">
        <v>114</v>
      </c>
      <c r="C12" s="21" t="s">
        <v>115</v>
      </c>
      <c r="D12" s="22" t="s">
        <v>116</v>
      </c>
      <c r="E12" s="23" t="s">
        <v>117</v>
      </c>
      <c r="F12" s="24" t="s">
        <v>118</v>
      </c>
      <c r="G12" s="38"/>
    </row>
    <row r="13" spans="2:7" ht="46" customHeight="1" x14ac:dyDescent="0.35">
      <c r="B13" s="26" t="s">
        <v>119</v>
      </c>
      <c r="C13" s="21" t="s">
        <v>120</v>
      </c>
      <c r="D13" s="22" t="s">
        <v>121</v>
      </c>
      <c r="E13" s="23" t="s">
        <v>122</v>
      </c>
      <c r="F13" s="24" t="s">
        <v>123</v>
      </c>
      <c r="G13" s="38"/>
    </row>
    <row r="14" spans="2:7" ht="46" customHeight="1" x14ac:dyDescent="0.35">
      <c r="B14" s="27" t="s">
        <v>124</v>
      </c>
      <c r="C14" s="21" t="s">
        <v>125</v>
      </c>
      <c r="D14" s="22" t="s">
        <v>126</v>
      </c>
      <c r="E14" s="23" t="s">
        <v>127</v>
      </c>
      <c r="F14" s="24" t="s">
        <v>128</v>
      </c>
      <c r="G14" s="39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showGridLines="0" workbookViewId="0">
      <selection activeCell="H17" sqref="H17"/>
    </sheetView>
  </sheetViews>
  <sheetFormatPr defaultRowHeight="14.5" x14ac:dyDescent="0.35"/>
  <cols>
    <col min="1" max="1" width="3" customWidth="1"/>
    <col min="2" max="2" width="30" customWidth="1"/>
    <col min="3" max="5" width="22" customWidth="1"/>
    <col min="6" max="6" width="3" customWidth="1"/>
  </cols>
  <sheetData>
    <row r="2" spans="2:5" ht="32" customHeight="1" x14ac:dyDescent="0.35">
      <c r="B2" s="40" t="s">
        <v>129</v>
      </c>
      <c r="C2" s="41"/>
      <c r="D2" s="41"/>
      <c r="E2" s="41"/>
    </row>
    <row r="4" spans="2:5" ht="26" customHeight="1" x14ac:dyDescent="0.35">
      <c r="B4" s="64" t="s">
        <v>130</v>
      </c>
      <c r="C4" s="41"/>
      <c r="D4" s="41"/>
      <c r="E4" s="41"/>
    </row>
    <row r="5" spans="2:5" ht="30" customHeight="1" x14ac:dyDescent="0.35">
      <c r="B5" s="28" t="s">
        <v>131</v>
      </c>
      <c r="C5" s="52">
        <f>COUNTIF('📊 TRACKER 10 MEDIDAS'!F8:F17,"✅ Implementado")</f>
        <v>1</v>
      </c>
      <c r="D5" s="53"/>
      <c r="E5" s="54"/>
    </row>
    <row r="6" spans="2:5" ht="30" customHeight="1" x14ac:dyDescent="0.35">
      <c r="B6" s="29" t="s">
        <v>132</v>
      </c>
      <c r="C6" s="55">
        <f>COUNTIF('📊 TRACKER 10 MEDIDAS'!F8:F17,"🔄 Em curso")</f>
        <v>4</v>
      </c>
      <c r="D6" s="56"/>
      <c r="E6" s="57"/>
    </row>
    <row r="7" spans="2:5" ht="30" customHeight="1" x14ac:dyDescent="0.35">
      <c r="B7" s="30" t="s">
        <v>133</v>
      </c>
      <c r="C7" s="58">
        <f>COUNTIF('📊 TRACKER 10 MEDIDAS'!F8:F17,"⚠️ Parcialmente")</f>
        <v>4</v>
      </c>
      <c r="D7" s="59"/>
      <c r="E7" s="60"/>
    </row>
    <row r="8" spans="2:5" ht="30" customHeight="1" x14ac:dyDescent="0.35">
      <c r="B8" s="31" t="s">
        <v>134</v>
      </c>
      <c r="C8" s="61">
        <f>COUNTIF('📊 TRACKER 10 MEDIDAS'!F8:F17,"🔴 Não implementado")</f>
        <v>1</v>
      </c>
      <c r="D8" s="62"/>
      <c r="E8" s="63"/>
    </row>
    <row r="10" spans="2:5" ht="26" customHeight="1" x14ac:dyDescent="0.35">
      <c r="B10" s="48" t="s">
        <v>135</v>
      </c>
      <c r="C10" s="41"/>
      <c r="D10" s="41"/>
      <c r="E10" s="41"/>
    </row>
    <row r="11" spans="2:5" ht="30" customHeight="1" x14ac:dyDescent="0.35">
      <c r="B11" s="31" t="s">
        <v>136</v>
      </c>
      <c r="C11" s="61">
        <f>COUNTIF('📊 TRACKER 10 MEDIDAS'!G8:G17,"🔴 CRÍTICA")</f>
        <v>5</v>
      </c>
      <c r="D11" s="62"/>
      <c r="E11" s="63"/>
    </row>
    <row r="12" spans="2:5" ht="30" customHeight="1" x14ac:dyDescent="0.35">
      <c r="B12" s="31" t="s">
        <v>137</v>
      </c>
      <c r="C12" s="61">
        <f>COUNTIFS('📊 TRACKER 10 MEDIDAS'!G8:G17,"🔴 CRÍTICA",'📊 TRACKER 10 MEDIDAS'!F8:F17,"&lt;&gt;✅ Implementado")</f>
        <v>4</v>
      </c>
      <c r="D12" s="62"/>
      <c r="E12" s="63"/>
    </row>
    <row r="14" spans="2:5" ht="34" customHeight="1" x14ac:dyDescent="0.35">
      <c r="B14" s="49" t="s">
        <v>138</v>
      </c>
      <c r="C14" s="50"/>
      <c r="D14" s="50"/>
      <c r="E14" s="51"/>
    </row>
  </sheetData>
  <mergeCells count="10">
    <mergeCell ref="B2:E2"/>
    <mergeCell ref="B10:E10"/>
    <mergeCell ref="B14:E14"/>
    <mergeCell ref="C5:E5"/>
    <mergeCell ref="C6:E6"/>
    <mergeCell ref="C7:E7"/>
    <mergeCell ref="C8:E8"/>
    <mergeCell ref="C11:E11"/>
    <mergeCell ref="C12:E1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📊 TRACKER 10 MEDIDAS</vt:lpstr>
      <vt:lpstr>🗓️ ROADMAP 90 DIAS</vt:lpstr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EMERSON LUIZ SANTOS</cp:lastModifiedBy>
  <dcterms:created xsi:type="dcterms:W3CDTF">2026-03-08T11:07:11Z</dcterms:created>
  <dcterms:modified xsi:type="dcterms:W3CDTF">2026-03-13T12:16:18Z</dcterms:modified>
</cp:coreProperties>
</file>