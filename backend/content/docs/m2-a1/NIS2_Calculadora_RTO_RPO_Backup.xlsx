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2\Aula-1\"/>
    </mc:Choice>
  </mc:AlternateContent>
  <xr:revisionPtr revIDLastSave="0" documentId="13_ncr:1_{7B035F8D-E329-4EDD-9B9D-0B1177E2F58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⏱️ CALCULADORA RTO-RP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C10" i="1"/>
  <c r="C11" i="1" s="1"/>
</calcChain>
</file>

<file path=xl/sharedStrings.xml><?xml version="1.0" encoding="utf-8"?>
<sst xmlns="http://schemas.openxmlformats.org/spreadsheetml/2006/main" count="64" uniqueCount="60">
  <si>
    <t>CALCULADORA DE RTO / RPO E ESTRATÉGIA DE BACKUP 3-2-1  —  NIS2 MEDIDA 3</t>
  </si>
  <si>
    <t>Art. 21.º §2(c) NIS2  ·  Continuidade de Negócio  ·  ISO 22301  ·  Regra 3-2-1 Backup</t>
  </si>
  <si>
    <t>💡  Preencha as células AMARELAS com os dados da sua empresa. Os cálculos de impacto e a estratégia de backup recomendada são gerados automaticamente. Os valores de RTO e RPO devem ser aprovados pela gestão de topo.</t>
  </si>
  <si>
    <t>BLOCO A — PARÂMETROS DE NEGÓCIO (preencher para calcular impacto financeiro)</t>
  </si>
  <si>
    <t>Parâmetro</t>
  </si>
  <si>
    <t>Valor da empresa
(preencher)</t>
  </si>
  <si>
    <t>Unidade</t>
  </si>
  <si>
    <t>Notas</t>
  </si>
  <si>
    <t>Faturação anual da empresa (€)</t>
  </si>
  <si>
    <t>€/ano</t>
  </si>
  <si>
    <t>Usar valor do último exercício fiscal aprovado</t>
  </si>
  <si>
    <t>Faturação diária média estimada (€)</t>
  </si>
  <si>
    <t>€/dia</t>
  </si>
  <si>
    <t>Calculado automaticamente a partir da faturação anual</t>
  </si>
  <si>
    <t>Faturação horária média estimada (€)</t>
  </si>
  <si>
    <t>€/hora</t>
  </si>
  <si>
    <t>Calculado automaticamente — útil para calcular impacto de paragens</t>
  </si>
  <si>
    <t>Custo médio por hora de paragem operacional (€)</t>
  </si>
  <si>
    <t>Inclui: perda de faturação + custo de pessoal parado + custo de recuperação. Estimar 2-3× faturação horária</t>
  </si>
  <si>
    <t>Número de colaboradores afectados por paragem total</t>
  </si>
  <si>
    <t>pessoas</t>
  </si>
  <si>
    <t>Colaboradores que ficam sem trabalho se os sistemas estiverem em baixo</t>
  </si>
  <si>
    <t>Custo médio horário de colaborador (€)</t>
  </si>
  <si>
    <t>Salário médio / 160 horas mês. Para cálculo do custo de pessoal parado</t>
  </si>
  <si>
    <t>BLOCO B — DEFINIÇÃO DE RTO E RPO POR SISTEMA CRÍTICO</t>
  </si>
  <si>
    <t>Sistema / Serviço Crítico</t>
  </si>
  <si>
    <t>RTO Actual
(horas)</t>
  </si>
  <si>
    <t>RPO Actual
(horas)</t>
  </si>
  <si>
    <t>Impacto estimado se indisponível 8h (€)</t>
  </si>
  <si>
    <t>ERP (Microsoft Dynamics / SAP)</t>
  </si>
  <si>
    <t>Email corporativo (Microsoft 365 / Google Workspace)</t>
  </si>
  <si>
    <t>Servidor de ficheiros / SharePoint</t>
  </si>
  <si>
    <t>VPN / Acesso remoto</t>
  </si>
  <si>
    <t>Website / Portal de cliente</t>
  </si>
  <si>
    <t>Sistema de faturação / contabilidade</t>
  </si>
  <si>
    <t>Base de dados de clientes / CRM</t>
  </si>
  <si>
    <t>Ligação internet (ISP principal)</t>
  </si>
  <si>
    <t>BLOCO C — ESTRATÉGIA DE BACKUP 3-2-1 (REGRA DE OURO NIS2)</t>
  </si>
  <si>
    <t>Nível da Regra 3-2-1</t>
  </si>
  <si>
    <t>O que significa</t>
  </si>
  <si>
    <t>Implementação recomendada</t>
  </si>
  <si>
    <t>Estado</t>
  </si>
  <si>
    <t>3️⃣  3 CÓPIAS dos dados</t>
  </si>
  <si>
    <t>1 cópia de produção (dados ao vivo) + 2 cópias de backup. Nunca depender de uma única cópia.</t>
  </si>
  <si>
    <t>Dados de produção (servidor/cloud) + Backup NAS local + Backup cloud (Azure/AWS)</t>
  </si>
  <si>
    <t>2️⃣  2 SUPORTES DIFERENTES</t>
  </si>
  <si>
    <t>As cópias devem estar em media/tecnologia diferentes. Ex: disco local + cloud. Falha de um não afecta o outro.</t>
  </si>
  <si>
    <t>NAS local (disco RAID) + Azure Blob Storage (cloud). Diferentes tecnologias, diferentes fornecedores.</t>
  </si>
  <si>
    <t>1️⃣  1 CÓPIA OFFLINE ou IMUTÁVEL</t>
  </si>
  <si>
    <t>CRÍTICO: pelo menos uma cópia deve ser imutável (ransomware não consegue apagar nem encriptar).</t>
  </si>
  <si>
    <t>Azure Immutable Vault OU NAS com WORM (Write Once Read Many) OU tape offline. Retenção mínima: 30 dias.</t>
  </si>
  <si>
    <t>🔒  IMUTABILIDADE (extra NIS2)</t>
  </si>
  <si>
    <t>A NIS2 exige resiliência contra ransomware. Backup imutável é a ÚNICA protecção real contra ransomware que encripta backups.</t>
  </si>
  <si>
    <t>Veeam Backup + Replication (Immutability). Azure Backup Immutable Vault. Acronis Cloud Backup.</t>
  </si>
  <si>
    <t>📅  TESTE DE RESTAURO TRIMESTRAL</t>
  </si>
  <si>
    <t>Backup não testado = backup não existe. Medir e registar o RTO real a cada teste. Evidência obrigatória para CNCS.</t>
  </si>
  <si>
    <t>Restaurar 5 ficheiros aleatórios + 1 VM completa por trimestre. Registar tempo (RTO medido) em relatório.</t>
  </si>
  <si>
    <t>⚠️ Parcialmente</t>
  </si>
  <si>
    <t>🔴 Não implementado</t>
  </si>
  <si>
    <t>✅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</si>
</sst>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h"/>
    <numFmt numFmtId="165" formatCode="#,##0&quot; €&quot;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7B5000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b/>
      <sz val="10"/>
      <color rgb="FF7B5000"/>
      <name val="Arial"/>
      <charset val="1"/>
    </font>
    <font>
      <sz val="9"/>
      <color rgb="FF7F7F7F"/>
      <name val="Arial"/>
      <charset val="1"/>
    </font>
    <font>
      <sz val="8"/>
      <color rgb="FF7F7F7F"/>
      <name val="Arial"/>
      <charset val="1"/>
    </font>
    <font>
      <b/>
      <sz val="10"/>
      <color rgb="FF3D3D3D"/>
      <name val="Arial"/>
      <charset val="1"/>
    </font>
    <font>
      <sz val="9"/>
      <color rgb="FF1F3864"/>
      <name val="Arial"/>
      <charset val="1"/>
    </font>
    <font>
      <b/>
      <sz val="11"/>
      <color rgb="FF7B5000"/>
      <name val="Arial"/>
      <charset val="1"/>
    </font>
    <font>
      <b/>
      <sz val="10"/>
      <color rgb="FF9B0000"/>
      <name val="Arial"/>
      <charset val="1"/>
    </font>
    <font>
      <b/>
      <sz val="9"/>
      <color rgb="FF9B0000"/>
      <name val="Arial"/>
      <charset val="1"/>
    </font>
    <font>
      <sz val="8"/>
      <color rgb="FF3D3D3D"/>
      <name val="Arial"/>
      <charset val="1"/>
    </font>
    <font>
      <sz val="8"/>
      <color rgb="FF1A5C38"/>
      <name val="Arial"/>
      <charset val="1"/>
    </font>
    <font>
      <b/>
      <sz val="9"/>
      <color rgb="FF7B5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9B0000"/>
        <bgColor rgb="FF800000"/>
      </patternFill>
    </fill>
  </fills>
  <borders count="6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3" fontId="9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3" fontId="9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165" fontId="12" fillId="7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" fontId="6" fillId="4" borderId="3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F4F4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showGridLines="0" tabSelected="1" topLeftCell="A22" zoomScaleNormal="100" workbookViewId="0">
      <selection activeCell="L10" sqref="L10"/>
    </sheetView>
  </sheetViews>
  <sheetFormatPr defaultColWidth="8.6328125" defaultRowHeight="14.5" x14ac:dyDescent="0.35"/>
  <cols>
    <col min="1" max="1" width="3" customWidth="1"/>
    <col min="2" max="2" width="32" customWidth="1"/>
    <col min="3" max="5" width="22" customWidth="1"/>
    <col min="6" max="6" width="3" customWidth="1"/>
  </cols>
  <sheetData>
    <row r="2" spans="2:5" ht="33.75" customHeight="1" x14ac:dyDescent="0.35">
      <c r="B2" s="23" t="s">
        <v>0</v>
      </c>
      <c r="C2" s="23"/>
      <c r="D2" s="23"/>
      <c r="E2" s="23"/>
    </row>
    <row r="3" spans="2:5" ht="19.5" customHeight="1" x14ac:dyDescent="0.35">
      <c r="B3" s="24" t="s">
        <v>1</v>
      </c>
      <c r="C3" s="24"/>
      <c r="D3" s="24"/>
      <c r="E3" s="24"/>
    </row>
    <row r="5" spans="2:5" ht="33.75" customHeight="1" x14ac:dyDescent="0.35">
      <c r="B5" s="25" t="s">
        <v>2</v>
      </c>
      <c r="C5" s="25"/>
      <c r="D5" s="25"/>
      <c r="E5" s="29"/>
    </row>
    <row r="7" spans="2:5" ht="25.5" customHeight="1" x14ac:dyDescent="0.35">
      <c r="B7" s="26" t="s">
        <v>3</v>
      </c>
      <c r="C7" s="26"/>
      <c r="D7" s="26"/>
      <c r="E7" s="26"/>
    </row>
    <row r="8" spans="2:5" ht="30" customHeight="1" x14ac:dyDescent="0.35">
      <c r="B8" s="1" t="s">
        <v>4</v>
      </c>
      <c r="C8" s="1" t="s">
        <v>5</v>
      </c>
      <c r="D8" s="1" t="s">
        <v>6</v>
      </c>
      <c r="E8" s="1" t="s">
        <v>7</v>
      </c>
    </row>
    <row r="9" spans="2:5" ht="31.5" customHeight="1" x14ac:dyDescent="0.35">
      <c r="B9" s="2" t="s">
        <v>8</v>
      </c>
      <c r="C9" s="28">
        <v>2300000</v>
      </c>
      <c r="D9" s="3" t="s">
        <v>9</v>
      </c>
      <c r="E9" s="4" t="s">
        <v>10</v>
      </c>
    </row>
    <row r="10" spans="2:5" ht="31.5" customHeight="1" x14ac:dyDescent="0.35">
      <c r="B10" s="5" t="s">
        <v>11</v>
      </c>
      <c r="C10" s="6">
        <f>C9/365</f>
        <v>6301.3698630136987</v>
      </c>
      <c r="D10" s="7" t="s">
        <v>12</v>
      </c>
      <c r="E10" s="8" t="s">
        <v>13</v>
      </c>
    </row>
    <row r="11" spans="2:5" ht="31.5" customHeight="1" x14ac:dyDescent="0.35">
      <c r="B11" s="2" t="s">
        <v>14</v>
      </c>
      <c r="C11" s="9">
        <f>C10/24</f>
        <v>262.5570776255708</v>
      </c>
      <c r="D11" s="3" t="s">
        <v>15</v>
      </c>
      <c r="E11" s="4" t="s">
        <v>16</v>
      </c>
    </row>
    <row r="12" spans="2:5" ht="42" customHeight="1" x14ac:dyDescent="0.35">
      <c r="B12" s="5" t="s">
        <v>17</v>
      </c>
      <c r="C12" s="28">
        <v>3500</v>
      </c>
      <c r="D12" s="7" t="s">
        <v>15</v>
      </c>
      <c r="E12" s="8" t="s">
        <v>18</v>
      </c>
    </row>
    <row r="13" spans="2:5" ht="31.5" customHeight="1" x14ac:dyDescent="0.35">
      <c r="B13" s="2" t="s">
        <v>19</v>
      </c>
      <c r="C13" s="28">
        <v>100</v>
      </c>
      <c r="D13" s="3" t="s">
        <v>20</v>
      </c>
      <c r="E13" s="4" t="s">
        <v>21</v>
      </c>
    </row>
    <row r="14" spans="2:5" ht="31.5" customHeight="1" x14ac:dyDescent="0.35">
      <c r="B14" s="5" t="s">
        <v>22</v>
      </c>
      <c r="C14" s="28">
        <v>15</v>
      </c>
      <c r="D14" s="7" t="s">
        <v>15</v>
      </c>
      <c r="E14" s="8" t="s">
        <v>23</v>
      </c>
    </row>
    <row r="16" spans="2:5" ht="25.5" customHeight="1" x14ac:dyDescent="0.35">
      <c r="B16" s="27" t="s">
        <v>24</v>
      </c>
      <c r="C16" s="27"/>
      <c r="D16" s="27"/>
      <c r="E16" s="27"/>
    </row>
    <row r="17" spans="2:5" ht="36" customHeight="1" x14ac:dyDescent="0.35">
      <c r="B17" s="1" t="s">
        <v>25</v>
      </c>
      <c r="C17" s="1" t="s">
        <v>26</v>
      </c>
      <c r="D17" s="1" t="s">
        <v>27</v>
      </c>
      <c r="E17" s="1" t="s">
        <v>28</v>
      </c>
    </row>
    <row r="18" spans="2:5" ht="31.5" customHeight="1" x14ac:dyDescent="0.35">
      <c r="B18" s="10" t="s">
        <v>29</v>
      </c>
      <c r="C18" s="11"/>
      <c r="D18" s="11"/>
      <c r="E18" s="12">
        <f>C12*8*0.8</f>
        <v>22400</v>
      </c>
    </row>
    <row r="19" spans="2:5" ht="31.5" customHeight="1" x14ac:dyDescent="0.35">
      <c r="B19" s="13" t="s">
        <v>30</v>
      </c>
      <c r="C19" s="11"/>
      <c r="D19" s="11"/>
      <c r="E19" s="12">
        <f>C12*8*0.4</f>
        <v>11200</v>
      </c>
    </row>
    <row r="20" spans="2:5" ht="31.5" customHeight="1" x14ac:dyDescent="0.35">
      <c r="B20" s="10" t="s">
        <v>31</v>
      </c>
      <c r="C20" s="11"/>
      <c r="D20" s="11"/>
      <c r="E20" s="12">
        <f>C12*8*0.5</f>
        <v>14000</v>
      </c>
    </row>
    <row r="21" spans="2:5" ht="31.5" customHeight="1" x14ac:dyDescent="0.35">
      <c r="B21" s="13" t="s">
        <v>32</v>
      </c>
      <c r="C21" s="11"/>
      <c r="D21" s="11"/>
      <c r="E21" s="12">
        <f>C12*8*0.3</f>
        <v>8400</v>
      </c>
    </row>
    <row r="22" spans="2:5" ht="31.5" customHeight="1" x14ac:dyDescent="0.35">
      <c r="B22" s="10" t="s">
        <v>33</v>
      </c>
      <c r="C22" s="11"/>
      <c r="D22" s="11"/>
      <c r="E22" s="12">
        <f>C12*8*0.6</f>
        <v>16800</v>
      </c>
    </row>
    <row r="23" spans="2:5" ht="31.5" customHeight="1" x14ac:dyDescent="0.35">
      <c r="B23" s="13" t="s">
        <v>34</v>
      </c>
      <c r="C23" s="11"/>
      <c r="D23" s="11"/>
      <c r="E23" s="12">
        <f>C12*8*0.7</f>
        <v>19600</v>
      </c>
    </row>
    <row r="24" spans="2:5" ht="31.5" customHeight="1" x14ac:dyDescent="0.35">
      <c r="B24" s="10" t="s">
        <v>35</v>
      </c>
      <c r="C24" s="11"/>
      <c r="D24" s="11"/>
      <c r="E24" s="12">
        <f>C12*8*0.5</f>
        <v>14000</v>
      </c>
    </row>
    <row r="25" spans="2:5" ht="31.5" customHeight="1" x14ac:dyDescent="0.35">
      <c r="B25" s="13" t="s">
        <v>36</v>
      </c>
      <c r="C25" s="11"/>
      <c r="D25" s="11"/>
      <c r="E25" s="12">
        <f>C12*8*1</f>
        <v>28000</v>
      </c>
    </row>
    <row r="27" spans="2:5" ht="25.5" customHeight="1" x14ac:dyDescent="0.35">
      <c r="B27" s="22" t="s">
        <v>37</v>
      </c>
      <c r="C27" s="22"/>
      <c r="D27" s="22"/>
      <c r="E27" s="22"/>
    </row>
    <row r="28" spans="2:5" ht="30" customHeight="1" x14ac:dyDescent="0.35">
      <c r="B28" s="14" t="s">
        <v>38</v>
      </c>
      <c r="C28" s="14" t="s">
        <v>39</v>
      </c>
      <c r="D28" s="14" t="s">
        <v>40</v>
      </c>
      <c r="E28" s="14" t="s">
        <v>41</v>
      </c>
    </row>
    <row r="29" spans="2:5" ht="43.5" customHeight="1" x14ac:dyDescent="0.35">
      <c r="B29" s="15" t="s">
        <v>42</v>
      </c>
      <c r="C29" s="16" t="s">
        <v>43</v>
      </c>
      <c r="D29" s="17" t="s">
        <v>44</v>
      </c>
      <c r="E29" s="18" t="s">
        <v>57</v>
      </c>
    </row>
    <row r="30" spans="2:5" ht="43.5" customHeight="1" x14ac:dyDescent="0.35">
      <c r="B30" s="15" t="s">
        <v>45</v>
      </c>
      <c r="C30" s="16" t="s">
        <v>46</v>
      </c>
      <c r="D30" s="17" t="s">
        <v>47</v>
      </c>
      <c r="E30" s="18" t="s">
        <v>58</v>
      </c>
    </row>
    <row r="31" spans="2:5" ht="43.5" customHeight="1" x14ac:dyDescent="0.35">
      <c r="B31" s="15" t="s">
        <v>48</v>
      </c>
      <c r="C31" s="16" t="s">
        <v>49</v>
      </c>
      <c r="D31" s="17" t="s">
        <v>50</v>
      </c>
      <c r="E31" s="18" t="s">
        <v>59</v>
      </c>
    </row>
    <row r="32" spans="2:5" ht="52" customHeight="1" x14ac:dyDescent="0.35">
      <c r="B32" s="15" t="s">
        <v>51</v>
      </c>
      <c r="C32" s="16" t="s">
        <v>52</v>
      </c>
      <c r="D32" s="17" t="s">
        <v>53</v>
      </c>
      <c r="E32" s="18" t="s">
        <v>57</v>
      </c>
    </row>
    <row r="33" spans="2:5" ht="53.5" customHeight="1" x14ac:dyDescent="0.35">
      <c r="B33" s="19" t="s">
        <v>54</v>
      </c>
      <c r="C33" s="20" t="s">
        <v>55</v>
      </c>
      <c r="D33" s="21" t="s">
        <v>56</v>
      </c>
      <c r="E33" s="18" t="s">
        <v>57</v>
      </c>
    </row>
  </sheetData>
  <mergeCells count="6">
    <mergeCell ref="B27:E27"/>
    <mergeCell ref="B2:E2"/>
    <mergeCell ref="B3:E3"/>
    <mergeCell ref="B5:E5"/>
    <mergeCell ref="B7:E7"/>
    <mergeCell ref="B16:E16"/>
  </mergeCells>
  <dataValidations count="1">
    <dataValidation type="list" allowBlank="1" sqref="E29:E35" xr:uid="{00000000-0002-0000-0000-000000000000}">
      <formula1>"✅ Implementado,⚠️ Parcialmente,🔴 Não implementado"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⏱️ CALCULADORA RTO-RPO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2026-03-08T11:07:11Z</dcterms:created>
  <dcterms:modified xsi:type="dcterms:W3CDTF">2026-03-13T12:11:17Z</dcterms:modified>
  <dc:language>en-US</dc:language>
</cp:coreProperties>
</file>