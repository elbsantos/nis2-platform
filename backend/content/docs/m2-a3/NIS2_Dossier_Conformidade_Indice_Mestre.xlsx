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erson.santos\Documents\Pessoal\Consultoria-NIS\NIS-Curso\Modulo 2\Aula-3\"/>
    </mc:Choice>
  </mc:AlternateContent>
  <xr:revisionPtr revIDLastSave="0" documentId="13_ncr:1_{5739D2A6-C35C-4C8F-87D2-34DBABAC869E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📁 ÍNDICE MESTRE" sheetId="1" r:id="rId1"/>
    <sheet name="📊 DASHBOARD CONFORMIDAD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2" l="1"/>
  <c r="C9" i="2"/>
  <c r="C8" i="2"/>
  <c r="C7" i="2"/>
  <c r="C6" i="2"/>
  <c r="C5" i="2"/>
</calcChain>
</file>

<file path=xl/sharedStrings.xml><?xml version="1.0" encoding="utf-8"?>
<sst xmlns="http://schemas.openxmlformats.org/spreadsheetml/2006/main" count="245" uniqueCount="175">
  <si>
    <t>DOSSIER DE CONFORMIDADE NIS2 — ÍNDICE MESTRE DE DOCUMENTOS  ·  DL 125/2025</t>
  </si>
  <si>
    <t>Empresa: [Nome]</t>
  </si>
  <si>
    <t>CISO: ___________________   Última revisão: ___/___/______   Score actual: [ver Dashboard]</t>
  </si>
  <si>
    <t>📋  Este índice é o DOCUMENTO CENTRAL do dossier NIS2. Lista TODOS os documentos de conformidade, o seu estado, localização e data de próxima revisão. O auditor CNCS pedirá este índice como primeiro passo da auditoria. 'Se não está documentado, não existe' — regra de ouro da conformidade NIS2.</t>
  </si>
  <si>
    <t>#</t>
  </si>
  <si>
    <t>Documento / Evidência de Conformidade</t>
  </si>
  <si>
    <t>Obrigação Legal</t>
  </si>
  <si>
    <t>Estado</t>
  </si>
  <si>
    <t>Data
Criação/Última
Actualização</t>
  </si>
  <si>
    <t>Data
Próxima
Revisão</t>
  </si>
  <si>
    <t>Localização Digital</t>
  </si>
  <si>
    <t>Observações</t>
  </si>
  <si>
    <t xml:space="preserve">  MÓDULO 1 — GOVERNANÇA E CLASSIFICAÇÃO</t>
  </si>
  <si>
    <t>D01</t>
  </si>
  <si>
    <t>Autoavaliação NIS2 — Classificação EE/EI</t>
  </si>
  <si>
    <t>Art. 2.º DL 125/2025</t>
  </si>
  <si>
    <t>✅ Existe e válido</t>
  </si>
  <si>
    <t>___/___/______</t>
  </si>
  <si>
    <t>/NIS2/Governança/Autoavaliacao_EE_EI.xlsx</t>
  </si>
  <si>
    <t>Ferramenta Excel Aula 1.1. Rever se dimensão ou setor mudar.</t>
  </si>
  <si>
    <t>D02</t>
  </si>
  <si>
    <t>Registo junto do CNCS — Confirmação</t>
  </si>
  <si>
    <t>Art. 27.º DL 125/2025</t>
  </si>
  <si>
    <t>N/A — actualizar se dados mudam</t>
  </si>
  <si>
    <t>/NIS2/Governança/Registo_CNCS_[ref].pdf</t>
  </si>
  <si>
    <t>Guardar email de confirmação CNCS + número de referência.</t>
  </si>
  <si>
    <t>D03</t>
  </si>
  <si>
    <t>Carta de Nomeação do CISO</t>
  </si>
  <si>
    <t>Art. 20.º NIS2</t>
  </si>
  <si>
    <t>N/A — actualizar se CISO mudar</t>
  </si>
  <si>
    <t>/NIS2/Governança/Nomeacao_CISO_[data].pdf</t>
  </si>
  <si>
    <t>Assinada pelo CEO. Actualizar no CNCS se CISO mudar (prazo 5 dias úteis).</t>
  </si>
  <si>
    <t>D04</t>
  </si>
  <si>
    <t>Ata de Reunião de Cibersegurança (trimestral)</t>
  </si>
  <si>
    <t>⚠️ Existe mas desactualizado</t>
  </si>
  <si>
    <t>Trimestral</t>
  </si>
  <si>
    <t>/NIS2/Governança/Atas/Ata_[Trimestre]_[Ano].pdf</t>
  </si>
  <si>
    <t>Evidência de supervisão activa da gestão. Obrigatória para auditoria CNCS.</t>
  </si>
  <si>
    <t>D05</t>
  </si>
  <si>
    <t>Dashboard de KPIs de Governança (trimestral)</t>
  </si>
  <si>
    <t>/NIS2/Governança/KPIs_[Trimestre]_[Ano].xlsx</t>
  </si>
  <si>
    <t>Apresentar na reunião trimestral de cibersegurança com gestão de topo.</t>
  </si>
  <si>
    <t xml:space="preserve">  MÓDULO 1 — ANÁLISE DE RISCO E POLÍTICAS</t>
  </si>
  <si>
    <t>D06</t>
  </si>
  <si>
    <t>Análise de Risco (anual)</t>
  </si>
  <si>
    <t>Art. 21.º §1 NIS2</t>
  </si>
  <si>
    <t>Anual (Janeiro)</t>
  </si>
  <si>
    <t>/NIS2/Riscos/Analise_Risco_[Ano].xlsx</t>
  </si>
  <si>
    <t>Registo de Riscos com probabilidade × impacto. Aprovada pela gestão.</t>
  </si>
  <si>
    <t>D07</t>
  </si>
  <si>
    <t>Política de Segurança da Informação (PSI)</t>
  </si>
  <si>
    <t>Art. 21.º NIS2</t>
  </si>
  <si>
    <t>Anual</t>
  </si>
  <si>
    <t>/NIS2/Políticas/PSI_v[versão]_[data].pdf</t>
  </si>
  <si>
    <t>Assinada pelo CEO. Distribuída a todos os colaboradores. Confirmações de leitura guardadas.</t>
  </si>
  <si>
    <t>D08</t>
  </si>
  <si>
    <t>Inventário de Ativos Críticos</t>
  </si>
  <si>
    <t>Semestral</t>
  </si>
  <si>
    <t>/NIS2/Ativos/Inventario_Ativos_[Ano].xlsx</t>
  </si>
  <si>
    <t>Hardware + Software + Cloud. Actualizar quando adquirir novos ativos.</t>
  </si>
  <si>
    <t xml:space="preserve">  MÓDULO 1 — FORNECEDORES (TPRM)</t>
  </si>
  <si>
    <t>D09</t>
  </si>
  <si>
    <t>Inventário de Fornecedores TPRM</t>
  </si>
  <si>
    <t>Art. 21.º §2(d) NIS2</t>
  </si>
  <si>
    <t>/NIS2/Fornecedores/Inventario_TPRM_[Ano].xlsx</t>
  </si>
  <si>
    <t>Score de risco calculado. Fornecedores críticos identificados e avaliados.</t>
  </si>
  <si>
    <t>D10</t>
  </si>
  <si>
    <t>Questionários Due Diligence respondidos (fornecedores críticos)</t>
  </si>
  <si>
    <t>Anual por fornecedor</t>
  </si>
  <si>
    <t>/NIS2/Fornecedores/DueDiligence/[Fornecedor]/DD_[Ano].pdf</t>
  </si>
  <si>
    <t>Um ficheiro por fornecedor crítico. Guardar resposta assinada pelo fornecedor.</t>
  </si>
  <si>
    <t>D11</t>
  </si>
  <si>
    <t>Contratos com Cláusulas NIS2 (fornecedores críticos)</t>
  </si>
  <si>
    <t>🔴 Em falta</t>
  </si>
  <si>
    <t>Actualizar em renovação</t>
  </si>
  <si>
    <t>/NIS2/Fornecedores/Contratos/[Fornecedor]_Adenda_NIS2.pdf</t>
  </si>
  <si>
    <t>5 cláusulas mínimas: notificação 24h, auditoria, segurança mínima, subfornecedores, exit strategy.</t>
  </si>
  <si>
    <t>D12</t>
  </si>
  <si>
    <t>Plano de Saída — Exit Strategy (fornecedores críticos)</t>
  </si>
  <si>
    <t>/NIS2/Fornecedores/ExitStrategy/Exit_[Fornecedor].xlsx</t>
  </si>
  <si>
    <t>Documentar antes do incidente — nunca durante a crise.</t>
  </si>
  <si>
    <t xml:space="preserve">  MÓDULO 2 — MEDIDAS TÉCNICAS</t>
  </si>
  <si>
    <t>D13</t>
  </si>
  <si>
    <t>Tracker das 10 Medidas NIS2 (estado actual)</t>
  </si>
  <si>
    <t>/NIS2/Técnico/Tracker_10_Medidas_[Ano].xlsx</t>
  </si>
  <si>
    <t>Score de conformidade calculado automaticamente. Apresentar à gestão.</t>
  </si>
  <si>
    <t>D14</t>
  </si>
  <si>
    <t>Relatório de Patches e Vulnerabilidades (trimestral)</t>
  </si>
  <si>
    <t>Art. 21.º §2(b) NIS2</t>
  </si>
  <si>
    <t>/NIS2/Técnico/Patches/Relatório_Patches_[Trimestre]_[Ano].pdf</t>
  </si>
  <si>
    <t>Incluir: scan de vulnerabilidades, patches aplicados, CVSSs críticos, evidência de remediação.</t>
  </si>
  <si>
    <t>D15</t>
  </si>
  <si>
    <t>Relatório de Teste de Backup e RTO medido (trimestral)</t>
  </si>
  <si>
    <t>Art. 21.º §2(c) NIS2</t>
  </si>
  <si>
    <t>/NIS2/Técnico/Backups/Teste_Restauro_[Trimestre]_[Ano].pdf</t>
  </si>
  <si>
    <t>Registar: data do teste, ficheiros restaurados, RTO medido. Assinado pelo responsável TI.</t>
  </si>
  <si>
    <t>D16</t>
  </si>
  <si>
    <t>Evidência de MFA implementado (screenshot painel)</t>
  </si>
  <si>
    <t>Art. 21.º §2(j) NIS2</t>
  </si>
  <si>
    <t>/NIS2/Técnico/MFA/Screenshot_MFA_100pct_[data].pdf</t>
  </si>
  <si>
    <t>Screenshot do painel M365/Google Admin mostrando 100% de adopção de MFA.</t>
  </si>
  <si>
    <t>D17</t>
  </si>
  <si>
    <t>Calculadora RTO/RPO aprovada pela gestão</t>
  </si>
  <si>
    <t>/NIS2/Técnico/BCP/RTO_RPO_Aprovado_[Ano].xlsx</t>
  </si>
  <si>
    <t>RTO e RPO definidos por sistema crítico, aprovados por escrito pela gestão.</t>
  </si>
  <si>
    <t xml:space="preserve">  MÓDULO 2 — FORMAÇÃO E SENSIBILIZAÇÃO</t>
  </si>
  <si>
    <t>D18</t>
  </si>
  <si>
    <t>Listas de Presenças — Formação Anual (todos os colaboradores)</t>
  </si>
  <si>
    <t>Art. 21.º §2(g) NIS2</t>
  </si>
  <si>
    <t>/NIS2/Formação/[Ano]/Lista_Presencas_[data].pdf</t>
  </si>
  <si>
    <t>Assinada por cada colaborador. Incluir gestão de topo (obrigação Art. 20.º NIS2).</t>
  </si>
  <si>
    <t>D19</t>
  </si>
  <si>
    <t>Resultados Simulação Phishing (trimestral)</t>
  </si>
  <si>
    <t>/NIS2/Formação/Phishing/Resultado_[Trimestre]_[Ano].pdf</t>
  </si>
  <si>
    <t>Taxa de cliques meta &lt; 5%. Acções de remediação para quem clicou.</t>
  </si>
  <si>
    <t>D20</t>
  </si>
  <si>
    <t>Checklists de Higiene Cibernética assinadas (todos os colaboradores)</t>
  </si>
  <si>
    <t>/NIS2/Formação/[Ano]/Checklists_Higiene_[Ano].pdf</t>
  </si>
  <si>
    <t>Uma checklist por colaborador, assinada. Guardar como evidência de conformidade.</t>
  </si>
  <si>
    <t xml:space="preserve">  MÓDULO 2 — GESTÃO DE INCIDENTES</t>
  </si>
  <si>
    <t>D21</t>
  </si>
  <si>
    <t>Plano de Resposta a Incidentes (IRP)</t>
  </si>
  <si>
    <t>Art. 23.º NIS2</t>
  </si>
  <si>
    <t>Semestral + após incidente</t>
  </si>
  <si>
    <t>/NIS2/IRP/IRP_v[versão]_[data].pdf</t>
  </si>
  <si>
    <t>Testar semestralmente com tabletop exercise. Cópia impressa na sala de TI.</t>
  </si>
  <si>
    <t>D22</t>
  </si>
  <si>
    <t>Log de Incidentes (todos os eventos)</t>
  </si>
  <si>
    <t>Contínuo</t>
  </si>
  <si>
    <t>/NIS2/Incidentes/Log_Incidentes_[Ano].xlsx</t>
  </si>
  <si>
    <t>Registar TODOS os eventos — incluindo não reportáveis. Evidência para auditoria CNCS.</t>
  </si>
  <si>
    <t>D23</t>
  </si>
  <si>
    <t>Notificações ao CNCS arquivadas (24h + 72h + relatório final)</t>
  </si>
  <si>
    <t>— N/A</t>
  </si>
  <si>
    <t>Por incidente</t>
  </si>
  <si>
    <t>/NIS2/Incidentes/[INC-XXX]/Notificacao_CNCS_[fase].pdf</t>
  </si>
  <si>
    <t>Guardar recibo de submissão CNCS. Uma pasta por incidente com os 3 formulários.</t>
  </si>
  <si>
    <t>D24</t>
  </si>
  <si>
    <t>Relatório de Tabletop Exercise (semestral)</t>
  </si>
  <si>
    <t>/NIS2/IRP/Tabletop/Relatorio_Tabletop_[data].pdf</t>
  </si>
  <si>
    <t>Registar: cenário testado, participantes, gaps identificados, melhorias implementadas.</t>
  </si>
  <si>
    <t xml:space="preserve">  MÓDULO 2 — AUDITORIAS E CONFORMIDADE</t>
  </si>
  <si>
    <t>D25</t>
  </si>
  <si>
    <t>Auto-Auditoria Anual CNCS (este checklist preenchido)</t>
  </si>
  <si>
    <t>Arts. 31.º-35.º DL 125/2025</t>
  </si>
  <si>
    <t>📅 Em elaboração</t>
  </si>
  <si>
    <t>/NIS2/Auditorias/AutoAuditoria_[Ano].pdf</t>
  </si>
  <si>
    <t>Checklist de auto-auditoria (PDF Aula 2.3). Corrigir gaps antes de auditoria CNCS.</t>
  </si>
  <si>
    <t>D26</t>
  </si>
  <si>
    <t>CAPA — Plano de Acção Correctiva (não conformidades)</t>
  </si>
  <si>
    <t>Por não conformidade</t>
  </si>
  <si>
    <t>/NIS2/Auditorias/CAPA/CAPA_[NC-XXX]_[data].pdf</t>
  </si>
  <si>
    <t>Um CAPA por não conformidade identificada pelo CNCS ou na auto-auditoria.</t>
  </si>
  <si>
    <t>D27</t>
  </si>
  <si>
    <t>Calendário Anual de Conformidade (actividades PDCA)</t>
  </si>
  <si>
    <t>Anual (actualizações mensais)</t>
  </si>
  <si>
    <t>/NIS2/Auditorias/Calendario_Conformidade_[Ano].xlsx</t>
  </si>
  <si>
    <t>Excel Aula 2.3 com todas as actividades anuais, responsáveis e evidências esperadas.</t>
  </si>
  <si>
    <t>D28</t>
  </si>
  <si>
    <t>Relatório Anual de Cibersegurança para a Gestão de Topo</t>
  </si>
  <si>
    <t>Anual (Dezembro)</t>
  </si>
  <si>
    <t>/NIS2/Auditorias/Relatorio_Anual_Ciberseguranca_[Ano].pdf</t>
  </si>
  <si>
    <t>Resumo executivo: KPIs do ano, incidentes, score de conformidade, orçamento, plano próximo ano.</t>
  </si>
  <si>
    <t>DASHBOARD — SCORE DE CONFORMIDADE NIS2</t>
  </si>
  <si>
    <t>📊 SCORE GLOBAL DO DOSSIER</t>
  </si>
  <si>
    <t>Documentos EXISTENTES e VÁLIDOS ✅</t>
  </si>
  <si>
    <t>Documentos DESACTUALIZADOS ⚠️</t>
  </si>
  <si>
    <t>Documentos EM FALTA 🔴</t>
  </si>
  <si>
    <t>Documentos em elaboração 📅</t>
  </si>
  <si>
    <t>Total de documentos rastreados</t>
  </si>
  <si>
    <t>Score de conformidade (%)</t>
  </si>
  <si>
    <t>🔴 ACÇÕES PRIORITÁRIAS</t>
  </si>
  <si>
    <t>Documentos críticos em falta (score ≥ prioridade)</t>
  </si>
  <si>
    <t>Ver coluna Estado no Índice Mestre — filtrar por 🔴</t>
  </si>
  <si>
    <t>💡  DICA: Para preparar uma auditoria CNCS, comece pelos documentos com estado '🔴 Em falta'. Meta antes de qualquer auditoria: 100% dos documentos obrigatórios com estado '✅ Existe e válido'. Utilizar este índice para guiar a preparação com 2-3 meses de antecedência.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</si>
</sst>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1F3864"/>
      <name val="Arial"/>
      <charset val="1"/>
    </font>
    <font>
      <b/>
      <sz val="9"/>
      <color rgb="FF9B0000"/>
      <name val="Arial"/>
      <charset val="1"/>
    </font>
    <font>
      <sz val="9"/>
      <color rgb="FF7B5000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sz val="8"/>
      <color rgb="FF7F7F7F"/>
      <name val="Arial"/>
      <charset val="1"/>
    </font>
    <font>
      <b/>
      <sz val="9"/>
      <color rgb="FF1A5C38"/>
      <name val="Arial"/>
      <charset val="1"/>
    </font>
    <font>
      <sz val="9"/>
      <color rgb="FF3D3D3D"/>
      <name val="Arial"/>
      <charset val="1"/>
    </font>
    <font>
      <sz val="8"/>
      <color rgb="FF2E75B6"/>
      <name val="Arial"/>
      <charset val="1"/>
    </font>
    <font>
      <b/>
      <sz val="9"/>
      <color rgb="FF7B5000"/>
      <name val="Arial"/>
      <charset val="1"/>
    </font>
    <font>
      <b/>
      <sz val="13"/>
      <color rgb="FFFFFFFF"/>
      <name val="Arial"/>
      <charset val="1"/>
    </font>
    <font>
      <b/>
      <sz val="11"/>
      <color rgb="FF1F3864"/>
      <name val="Arial"/>
      <charset val="1"/>
    </font>
    <font>
      <sz val="10"/>
      <color rgb="FF3D3D3D"/>
      <name val="Arial"/>
      <charset val="1"/>
    </font>
    <font>
      <b/>
      <sz val="14"/>
      <color rgb="FF1A5C38"/>
      <name val="Arial"/>
      <charset val="1"/>
    </font>
    <font>
      <b/>
      <sz val="14"/>
      <color rgb="FF7B5000"/>
      <name val="Arial"/>
      <charset val="1"/>
    </font>
    <font>
      <b/>
      <sz val="14"/>
      <color rgb="FF9B0000"/>
      <name val="Arial"/>
      <charset val="1"/>
    </font>
    <font>
      <b/>
      <sz val="14"/>
      <color rgb="FF2E75B6"/>
      <name val="Arial"/>
      <charset val="1"/>
    </font>
    <font>
      <b/>
      <sz val="14"/>
      <color rgb="FF7F7F7F"/>
      <name val="Arial"/>
      <charset val="1"/>
    </font>
    <font>
      <b/>
      <sz val="14"/>
      <color rgb="FF1F3864"/>
      <name val="Arial"/>
      <charset val="1"/>
    </font>
    <font>
      <b/>
      <sz val="11"/>
      <color rgb="FF9B0000"/>
      <name val="Arial"/>
      <charset val="1"/>
    </font>
    <font>
      <i/>
      <sz val="9"/>
      <color rgb="FF9B0000"/>
      <name val="Arial"/>
      <charset val="1"/>
    </font>
    <font>
      <i/>
      <sz val="9"/>
      <color rgb="FF1F3864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3CD"/>
        <bgColor rgb="FFFDECEA"/>
      </patternFill>
    </fill>
    <fill>
      <patternFill patternType="solid">
        <fgColor rgb="FFFDECEA"/>
        <bgColor rgb="FFF4F4F4"/>
      </patternFill>
    </fill>
    <fill>
      <patternFill patternType="solid">
        <fgColor rgb="FF1A5C38"/>
        <bgColor rgb="FF3D3D3D"/>
      </patternFill>
    </fill>
    <fill>
      <patternFill patternType="solid">
        <fgColor rgb="FFF4F4F4"/>
        <bgColor rgb="FFEBF3FB"/>
      </patternFill>
    </fill>
    <fill>
      <patternFill patternType="solid">
        <fgColor rgb="FFE2F0EA"/>
        <bgColor rgb="FFEBF3FB"/>
      </patternFill>
    </fill>
    <fill>
      <patternFill patternType="solid">
        <fgColor rgb="FFFFFFFF"/>
        <bgColor rgb="FFF4F4F4"/>
      </patternFill>
    </fill>
    <fill>
      <patternFill patternType="solid">
        <fgColor rgb="FF7B5000"/>
        <bgColor rgb="FFA07800"/>
      </patternFill>
    </fill>
    <fill>
      <patternFill patternType="solid">
        <fgColor rgb="FF2E75B6"/>
        <bgColor rgb="FF0066CC"/>
      </patternFill>
    </fill>
    <fill>
      <patternFill patternType="solid">
        <fgColor rgb="FFC55A11"/>
        <bgColor rgb="FFC07A00"/>
      </patternFill>
    </fill>
    <fill>
      <patternFill patternType="solid">
        <fgColor rgb="FF9B0000"/>
        <bgColor rgb="FF800000"/>
      </patternFill>
    </fill>
    <fill>
      <patternFill patternType="solid">
        <fgColor rgb="FFEBF3FB"/>
        <bgColor rgb="FFF4F4F4"/>
      </patternFill>
    </fill>
    <fill>
      <patternFill patternType="solid">
        <fgColor rgb="FFA07800"/>
        <bgColor rgb="FFC07A00"/>
      </patternFill>
    </fill>
  </fills>
  <borders count="5">
    <border>
      <left/>
      <right/>
      <top/>
      <bottom/>
      <diagonal/>
    </border>
    <border>
      <left style="thin">
        <color rgb="FFC07A00"/>
      </left>
      <right/>
      <top style="thin">
        <color rgb="FFC07A00"/>
      </top>
      <bottom style="thin">
        <color rgb="FFC07A00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4" fillId="13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10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left" vertical="center"/>
    </xf>
    <xf numFmtId="0" fontId="15" fillId="3" borderId="3" xfId="0" applyFont="1" applyFill="1" applyBorder="1" applyAlignment="1">
      <alignment horizontal="left" vertical="center"/>
    </xf>
    <xf numFmtId="0" fontId="15" fillId="4" borderId="3" xfId="0" applyFont="1" applyFill="1" applyBorder="1" applyAlignment="1">
      <alignment horizontal="left" vertical="center"/>
    </xf>
    <xf numFmtId="0" fontId="15" fillId="13" borderId="3" xfId="0" applyFont="1" applyFill="1" applyBorder="1" applyAlignment="1">
      <alignment horizontal="left" vertical="center"/>
    </xf>
    <xf numFmtId="0" fontId="15" fillId="6" borderId="3" xfId="0" applyFont="1" applyFill="1" applyBorder="1" applyAlignment="1">
      <alignment horizontal="left" vertical="center"/>
    </xf>
    <xf numFmtId="0" fontId="22" fillId="4" borderId="0" xfId="0" applyFont="1" applyFill="1" applyAlignment="1">
      <alignment horizontal="left" vertical="center"/>
    </xf>
    <xf numFmtId="0" fontId="23" fillId="4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left" vertical="center" wrapText="1"/>
    </xf>
    <xf numFmtId="0" fontId="16" fillId="7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1" fillId="13" borderId="3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sz val="10"/>
        <color rgb="FF7B5000"/>
        <name val="Arial"/>
        <charset val="1"/>
      </font>
      <fill>
        <patternFill>
          <bgColor rgb="FFFFF3CD"/>
        </patternFill>
      </fill>
    </dxf>
    <dxf>
      <font>
        <b/>
        <sz val="10"/>
        <color rgb="FF9B0000"/>
        <name val="Arial"/>
        <charset val="1"/>
      </font>
      <fill>
        <patternFill>
          <bgColor rgb="FFFDECEA"/>
        </patternFill>
      </fill>
    </dxf>
    <dxf>
      <font>
        <b/>
        <sz val="10"/>
        <color rgb="FF1A5C38"/>
        <name val="Arial"/>
        <charset val="1"/>
      </font>
      <fill>
        <patternFill>
          <bgColor rgb="FFE2F0E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0000"/>
      <rgbColor rgb="FF1A5C38"/>
      <rgbColor rgb="FF000080"/>
      <rgbColor rgb="FFA07800"/>
      <rgbColor rgb="FF800080"/>
      <rgbColor rgb="FF008080"/>
      <rgbColor rgb="FFCCCCCC"/>
      <rgbColor rgb="FF7F7F7F"/>
      <rgbColor rgb="FF9999FF"/>
      <rgbColor rgb="FF993366"/>
      <rgbColor rgb="FFFFF3CD"/>
      <rgbColor rgb="FFE2F0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4F4F4"/>
      <rgbColor rgb="FFFDECEA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C07A00"/>
      <rgbColor rgb="FFC55A11"/>
      <rgbColor rgb="FF666699"/>
      <rgbColor rgb="FF969696"/>
      <rgbColor rgb="FF1F3864"/>
      <rgbColor rgb="FF339966"/>
      <rgbColor rgb="FF003300"/>
      <rgbColor rgb="FF333300"/>
      <rgbColor rgb="FF7B50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2"/>
  <sheetViews>
    <sheetView showGridLines="0" zoomScaleNormal="100" workbookViewId="0">
      <pane ySplit="7" topLeftCell="A35" activePane="bottomLeft" state="frozen"/>
      <selection pane="bottomLeft" activeCell="E12" sqref="E12"/>
    </sheetView>
  </sheetViews>
  <sheetFormatPr defaultColWidth="8.6328125" defaultRowHeight="14.5" x14ac:dyDescent="0.35"/>
  <cols>
    <col min="1" max="1" width="3" customWidth="1"/>
    <col min="2" max="2" width="8" customWidth="1"/>
    <col min="3" max="3" width="30" customWidth="1"/>
    <col min="4" max="4" width="22" customWidth="1"/>
    <col min="5" max="5" width="28.81640625" customWidth="1"/>
    <col min="6" max="7" width="16" customWidth="1"/>
    <col min="8" max="8" width="23.54296875" customWidth="1"/>
    <col min="9" max="9" width="22" customWidth="1"/>
    <col min="10" max="10" width="3" customWidth="1"/>
  </cols>
  <sheetData>
    <row r="2" spans="2:9" ht="31.5" customHeight="1" x14ac:dyDescent="0.35">
      <c r="B2" s="12" t="s">
        <v>0</v>
      </c>
      <c r="C2" s="12"/>
      <c r="D2" s="12"/>
      <c r="E2" s="12"/>
      <c r="F2" s="12"/>
      <c r="G2" s="12"/>
      <c r="H2" s="12"/>
      <c r="I2" s="12"/>
    </row>
    <row r="3" spans="2:9" ht="19.5" customHeight="1" x14ac:dyDescent="0.35">
      <c r="B3" s="11" t="s">
        <v>1</v>
      </c>
      <c r="C3" s="11"/>
      <c r="D3" s="11"/>
      <c r="E3" s="11"/>
      <c r="F3" s="11"/>
      <c r="G3" s="10" t="s">
        <v>2</v>
      </c>
      <c r="H3" s="10"/>
      <c r="I3" s="10"/>
    </row>
    <row r="5" spans="2:9" ht="31.5" customHeight="1" x14ac:dyDescent="0.35">
      <c r="B5" s="9" t="s">
        <v>3</v>
      </c>
      <c r="C5" s="9"/>
      <c r="D5" s="9"/>
      <c r="E5" s="9"/>
      <c r="F5" s="9"/>
      <c r="G5" s="9"/>
      <c r="H5" s="9"/>
      <c r="I5" s="9"/>
    </row>
    <row r="7" spans="2:9" ht="39.75" customHeight="1" x14ac:dyDescent="0.35">
      <c r="B7" s="13" t="s">
        <v>4</v>
      </c>
      <c r="C7" s="13" t="s">
        <v>5</v>
      </c>
      <c r="D7" s="13" t="s">
        <v>6</v>
      </c>
      <c r="E7" s="13" t="s">
        <v>7</v>
      </c>
      <c r="F7" s="13" t="s">
        <v>8</v>
      </c>
      <c r="G7" s="13" t="s">
        <v>9</v>
      </c>
      <c r="H7" s="13" t="s">
        <v>10</v>
      </c>
      <c r="I7" s="13" t="s">
        <v>11</v>
      </c>
    </row>
    <row r="8" spans="2:9" ht="21.75" customHeight="1" x14ac:dyDescent="0.35">
      <c r="B8" s="8" t="s">
        <v>12</v>
      </c>
      <c r="C8" s="8"/>
      <c r="D8" s="8"/>
      <c r="E8" s="8"/>
      <c r="F8" s="8"/>
      <c r="G8" s="8"/>
      <c r="H8" s="8"/>
      <c r="I8" s="8"/>
    </row>
    <row r="9" spans="2:9" ht="39.75" customHeight="1" x14ac:dyDescent="0.35">
      <c r="B9" s="14" t="s">
        <v>13</v>
      </c>
      <c r="C9" s="15" t="s">
        <v>14</v>
      </c>
      <c r="D9" s="16" t="s">
        <v>15</v>
      </c>
      <c r="E9" s="17" t="s">
        <v>16</v>
      </c>
      <c r="F9" s="18" t="s">
        <v>17</v>
      </c>
      <c r="G9" s="19" t="s">
        <v>17</v>
      </c>
      <c r="H9" s="20" t="s">
        <v>18</v>
      </c>
      <c r="I9" s="16" t="s">
        <v>19</v>
      </c>
    </row>
    <row r="10" spans="2:9" ht="39.75" customHeight="1" x14ac:dyDescent="0.35">
      <c r="B10" s="14" t="s">
        <v>20</v>
      </c>
      <c r="C10" s="21" t="s">
        <v>21</v>
      </c>
      <c r="D10" s="22" t="s">
        <v>22</v>
      </c>
      <c r="E10" s="17" t="s">
        <v>16</v>
      </c>
      <c r="F10" s="23" t="s">
        <v>17</v>
      </c>
      <c r="G10" s="24" t="s">
        <v>23</v>
      </c>
      <c r="H10" s="25" t="s">
        <v>24</v>
      </c>
      <c r="I10" s="22" t="s">
        <v>25</v>
      </c>
    </row>
    <row r="11" spans="2:9" ht="39.75" customHeight="1" x14ac:dyDescent="0.35">
      <c r="B11" s="14" t="s">
        <v>26</v>
      </c>
      <c r="C11" s="15" t="s">
        <v>27</v>
      </c>
      <c r="D11" s="16" t="s">
        <v>28</v>
      </c>
      <c r="E11" s="17" t="s">
        <v>16</v>
      </c>
      <c r="F11" s="18" t="s">
        <v>17</v>
      </c>
      <c r="G11" s="19" t="s">
        <v>29</v>
      </c>
      <c r="H11" s="20" t="s">
        <v>30</v>
      </c>
      <c r="I11" s="16" t="s">
        <v>31</v>
      </c>
    </row>
    <row r="12" spans="2:9" ht="39.75" customHeight="1" x14ac:dyDescent="0.35">
      <c r="B12" s="26" t="s">
        <v>32</v>
      </c>
      <c r="C12" s="21" t="s">
        <v>33</v>
      </c>
      <c r="D12" s="22" t="s">
        <v>28</v>
      </c>
      <c r="E12" s="27" t="s">
        <v>34</v>
      </c>
      <c r="F12" s="23" t="s">
        <v>17</v>
      </c>
      <c r="G12" s="24" t="s">
        <v>35</v>
      </c>
      <c r="H12" s="25" t="s">
        <v>36</v>
      </c>
      <c r="I12" s="22" t="s">
        <v>37</v>
      </c>
    </row>
    <row r="13" spans="2:9" ht="39.75" customHeight="1" x14ac:dyDescent="0.35">
      <c r="B13" s="26" t="s">
        <v>38</v>
      </c>
      <c r="C13" s="15" t="s">
        <v>39</v>
      </c>
      <c r="D13" s="16" t="s">
        <v>28</v>
      </c>
      <c r="E13" s="27" t="s">
        <v>34</v>
      </c>
      <c r="F13" s="18" t="s">
        <v>17</v>
      </c>
      <c r="G13" s="19" t="s">
        <v>35</v>
      </c>
      <c r="H13" s="20" t="s">
        <v>40</v>
      </c>
      <c r="I13" s="16" t="s">
        <v>41</v>
      </c>
    </row>
    <row r="14" spans="2:9" ht="21.75" customHeight="1" x14ac:dyDescent="0.35">
      <c r="B14" s="7" t="s">
        <v>42</v>
      </c>
      <c r="C14" s="7"/>
      <c r="D14" s="7"/>
      <c r="E14" s="7"/>
      <c r="F14" s="7"/>
      <c r="G14" s="7"/>
      <c r="H14" s="7"/>
      <c r="I14" s="7"/>
    </row>
    <row r="15" spans="2:9" ht="39.75" customHeight="1" x14ac:dyDescent="0.35">
      <c r="B15" s="14" t="s">
        <v>43</v>
      </c>
      <c r="C15" s="15" t="s">
        <v>44</v>
      </c>
      <c r="D15" s="16" t="s">
        <v>45</v>
      </c>
      <c r="E15" s="17" t="s">
        <v>16</v>
      </c>
      <c r="F15" s="18" t="s">
        <v>17</v>
      </c>
      <c r="G15" s="19" t="s">
        <v>46</v>
      </c>
      <c r="H15" s="20" t="s">
        <v>47</v>
      </c>
      <c r="I15" s="16" t="s">
        <v>48</v>
      </c>
    </row>
    <row r="16" spans="2:9" ht="39.75" customHeight="1" x14ac:dyDescent="0.35">
      <c r="B16" s="14" t="s">
        <v>49</v>
      </c>
      <c r="C16" s="21" t="s">
        <v>50</v>
      </c>
      <c r="D16" s="22" t="s">
        <v>51</v>
      </c>
      <c r="E16" s="17" t="s">
        <v>16</v>
      </c>
      <c r="F16" s="23" t="s">
        <v>17</v>
      </c>
      <c r="G16" s="24" t="s">
        <v>52</v>
      </c>
      <c r="H16" s="25" t="s">
        <v>53</v>
      </c>
      <c r="I16" s="22" t="s">
        <v>54</v>
      </c>
    </row>
    <row r="17" spans="2:9" ht="39.75" customHeight="1" x14ac:dyDescent="0.35">
      <c r="B17" s="26" t="s">
        <v>55</v>
      </c>
      <c r="C17" s="15" t="s">
        <v>56</v>
      </c>
      <c r="D17" s="16" t="s">
        <v>45</v>
      </c>
      <c r="E17" s="27" t="s">
        <v>34</v>
      </c>
      <c r="F17" s="18" t="s">
        <v>17</v>
      </c>
      <c r="G17" s="19" t="s">
        <v>57</v>
      </c>
      <c r="H17" s="20" t="s">
        <v>58</v>
      </c>
      <c r="I17" s="16" t="s">
        <v>59</v>
      </c>
    </row>
    <row r="18" spans="2:9" ht="21.75" customHeight="1" x14ac:dyDescent="0.35">
      <c r="B18" s="6" t="s">
        <v>60</v>
      </c>
      <c r="C18" s="6"/>
      <c r="D18" s="6"/>
      <c r="E18" s="6"/>
      <c r="F18" s="6"/>
      <c r="G18" s="6"/>
      <c r="H18" s="6"/>
      <c r="I18" s="6"/>
    </row>
    <row r="19" spans="2:9" ht="39.75" customHeight="1" x14ac:dyDescent="0.35">
      <c r="B19" s="14" t="s">
        <v>61</v>
      </c>
      <c r="C19" s="15" t="s">
        <v>62</v>
      </c>
      <c r="D19" s="16" t="s">
        <v>63</v>
      </c>
      <c r="E19" s="17" t="s">
        <v>16</v>
      </c>
      <c r="F19" s="18" t="s">
        <v>17</v>
      </c>
      <c r="G19" s="19" t="s">
        <v>57</v>
      </c>
      <c r="H19" s="20" t="s">
        <v>64</v>
      </c>
      <c r="I19" s="16" t="s">
        <v>65</v>
      </c>
    </row>
    <row r="20" spans="2:9" ht="39.75" customHeight="1" x14ac:dyDescent="0.35">
      <c r="B20" s="26" t="s">
        <v>66</v>
      </c>
      <c r="C20" s="21" t="s">
        <v>67</v>
      </c>
      <c r="D20" s="22" t="s">
        <v>63</v>
      </c>
      <c r="E20" s="27" t="s">
        <v>34</v>
      </c>
      <c r="F20" s="23" t="s">
        <v>17</v>
      </c>
      <c r="G20" s="24" t="s">
        <v>68</v>
      </c>
      <c r="H20" s="25" t="s">
        <v>69</v>
      </c>
      <c r="I20" s="22" t="s">
        <v>70</v>
      </c>
    </row>
    <row r="21" spans="2:9" ht="39.75" customHeight="1" x14ac:dyDescent="0.35">
      <c r="B21" s="28" t="s">
        <v>71</v>
      </c>
      <c r="C21" s="15" t="s">
        <v>72</v>
      </c>
      <c r="D21" s="16" t="s">
        <v>63</v>
      </c>
      <c r="E21" s="29" t="s">
        <v>73</v>
      </c>
      <c r="F21" s="18"/>
      <c r="G21" s="19" t="s">
        <v>74</v>
      </c>
      <c r="H21" s="20" t="s">
        <v>75</v>
      </c>
      <c r="I21" s="16" t="s">
        <v>76</v>
      </c>
    </row>
    <row r="22" spans="2:9" ht="39.75" customHeight="1" x14ac:dyDescent="0.35">
      <c r="B22" s="28" t="s">
        <v>77</v>
      </c>
      <c r="C22" s="21" t="s">
        <v>78</v>
      </c>
      <c r="D22" s="22" t="s">
        <v>63</v>
      </c>
      <c r="E22" s="29" t="s">
        <v>73</v>
      </c>
      <c r="F22" s="23"/>
      <c r="G22" s="24" t="s">
        <v>52</v>
      </c>
      <c r="H22" s="25" t="s">
        <v>79</v>
      </c>
      <c r="I22" s="22" t="s">
        <v>80</v>
      </c>
    </row>
    <row r="23" spans="2:9" ht="21.75" customHeight="1" x14ac:dyDescent="0.35">
      <c r="B23" s="5" t="s">
        <v>81</v>
      </c>
      <c r="C23" s="5"/>
      <c r="D23" s="5"/>
      <c r="E23" s="5"/>
      <c r="F23" s="5"/>
      <c r="G23" s="5"/>
      <c r="H23" s="5"/>
      <c r="I23" s="5"/>
    </row>
    <row r="24" spans="2:9" ht="39.75" customHeight="1" x14ac:dyDescent="0.35">
      <c r="B24" s="26" t="s">
        <v>82</v>
      </c>
      <c r="C24" s="21" t="s">
        <v>83</v>
      </c>
      <c r="D24" s="22" t="s">
        <v>51</v>
      </c>
      <c r="E24" s="27" t="s">
        <v>34</v>
      </c>
      <c r="F24" s="23" t="s">
        <v>17</v>
      </c>
      <c r="G24" s="24" t="s">
        <v>35</v>
      </c>
      <c r="H24" s="25" t="s">
        <v>84</v>
      </c>
      <c r="I24" s="22" t="s">
        <v>85</v>
      </c>
    </row>
    <row r="25" spans="2:9" ht="39.75" customHeight="1" x14ac:dyDescent="0.35">
      <c r="B25" s="28" t="s">
        <v>86</v>
      </c>
      <c r="C25" s="15" t="s">
        <v>87</v>
      </c>
      <c r="D25" s="16" t="s">
        <v>88</v>
      </c>
      <c r="E25" s="29" t="s">
        <v>73</v>
      </c>
      <c r="F25" s="18"/>
      <c r="G25" s="19" t="s">
        <v>35</v>
      </c>
      <c r="H25" s="20" t="s">
        <v>89</v>
      </c>
      <c r="I25" s="16" t="s">
        <v>90</v>
      </c>
    </row>
    <row r="26" spans="2:9" ht="39.75" customHeight="1" x14ac:dyDescent="0.35">
      <c r="B26" s="14" t="s">
        <v>91</v>
      </c>
      <c r="C26" s="21" t="s">
        <v>92</v>
      </c>
      <c r="D26" s="22" t="s">
        <v>93</v>
      </c>
      <c r="E26" s="17" t="s">
        <v>16</v>
      </c>
      <c r="F26" s="23" t="s">
        <v>17</v>
      </c>
      <c r="G26" s="24" t="s">
        <v>35</v>
      </c>
      <c r="H26" s="25" t="s">
        <v>94</v>
      </c>
      <c r="I26" s="22" t="s">
        <v>95</v>
      </c>
    </row>
    <row r="27" spans="2:9" ht="39.75" customHeight="1" x14ac:dyDescent="0.35">
      <c r="B27" s="14" t="s">
        <v>96</v>
      </c>
      <c r="C27" s="15" t="s">
        <v>97</v>
      </c>
      <c r="D27" s="16" t="s">
        <v>98</v>
      </c>
      <c r="E27" s="17" t="s">
        <v>16</v>
      </c>
      <c r="F27" s="18" t="s">
        <v>17</v>
      </c>
      <c r="G27" s="19" t="s">
        <v>57</v>
      </c>
      <c r="H27" s="20" t="s">
        <v>99</v>
      </c>
      <c r="I27" s="16" t="s">
        <v>100</v>
      </c>
    </row>
    <row r="28" spans="2:9" ht="39.75" customHeight="1" x14ac:dyDescent="0.35">
      <c r="B28" s="26" t="s">
        <v>101</v>
      </c>
      <c r="C28" s="21" t="s">
        <v>102</v>
      </c>
      <c r="D28" s="22" t="s">
        <v>93</v>
      </c>
      <c r="E28" s="27" t="s">
        <v>34</v>
      </c>
      <c r="F28" s="23"/>
      <c r="G28" s="24" t="s">
        <v>52</v>
      </c>
      <c r="H28" s="25" t="s">
        <v>103</v>
      </c>
      <c r="I28" s="22" t="s">
        <v>104</v>
      </c>
    </row>
    <row r="29" spans="2:9" ht="21.75" customHeight="1" x14ac:dyDescent="0.35">
      <c r="B29" s="4" t="s">
        <v>105</v>
      </c>
      <c r="C29" s="4"/>
      <c r="D29" s="4"/>
      <c r="E29" s="4"/>
      <c r="F29" s="4"/>
      <c r="G29" s="4"/>
      <c r="H29" s="4"/>
      <c r="I29" s="4"/>
    </row>
    <row r="30" spans="2:9" ht="39.75" customHeight="1" x14ac:dyDescent="0.35">
      <c r="B30" s="14" t="s">
        <v>106</v>
      </c>
      <c r="C30" s="21" t="s">
        <v>107</v>
      </c>
      <c r="D30" s="22" t="s">
        <v>108</v>
      </c>
      <c r="E30" s="17" t="s">
        <v>16</v>
      </c>
      <c r="F30" s="23" t="s">
        <v>17</v>
      </c>
      <c r="G30" s="24" t="s">
        <v>52</v>
      </c>
      <c r="H30" s="25" t="s">
        <v>109</v>
      </c>
      <c r="I30" s="22" t="s">
        <v>110</v>
      </c>
    </row>
    <row r="31" spans="2:9" ht="39.75" customHeight="1" x14ac:dyDescent="0.35">
      <c r="B31" s="26" t="s">
        <v>111</v>
      </c>
      <c r="C31" s="15" t="s">
        <v>112</v>
      </c>
      <c r="D31" s="16" t="s">
        <v>108</v>
      </c>
      <c r="E31" s="27" t="s">
        <v>34</v>
      </c>
      <c r="F31" s="18" t="s">
        <v>17</v>
      </c>
      <c r="G31" s="19" t="s">
        <v>35</v>
      </c>
      <c r="H31" s="20" t="s">
        <v>113</v>
      </c>
      <c r="I31" s="16" t="s">
        <v>114</v>
      </c>
    </row>
    <row r="32" spans="2:9" ht="39.75" customHeight="1" x14ac:dyDescent="0.35">
      <c r="B32" s="14" t="s">
        <v>115</v>
      </c>
      <c r="C32" s="21" t="s">
        <v>116</v>
      </c>
      <c r="D32" s="22" t="s">
        <v>108</v>
      </c>
      <c r="E32" s="17" t="s">
        <v>16</v>
      </c>
      <c r="F32" s="23" t="s">
        <v>17</v>
      </c>
      <c r="G32" s="24" t="s">
        <v>52</v>
      </c>
      <c r="H32" s="25" t="s">
        <v>117</v>
      </c>
      <c r="I32" s="22" t="s">
        <v>118</v>
      </c>
    </row>
    <row r="33" spans="2:9" ht="21.75" customHeight="1" x14ac:dyDescent="0.35">
      <c r="B33" s="8" t="s">
        <v>119</v>
      </c>
      <c r="C33" s="8"/>
      <c r="D33" s="8"/>
      <c r="E33" s="8"/>
      <c r="F33" s="8"/>
      <c r="G33" s="8"/>
      <c r="H33" s="8"/>
      <c r="I33" s="8"/>
    </row>
    <row r="34" spans="2:9" ht="39.75" customHeight="1" x14ac:dyDescent="0.35">
      <c r="B34" s="14" t="s">
        <v>120</v>
      </c>
      <c r="C34" s="21" t="s">
        <v>121</v>
      </c>
      <c r="D34" s="22" t="s">
        <v>122</v>
      </c>
      <c r="E34" s="17" t="s">
        <v>16</v>
      </c>
      <c r="F34" s="23" t="s">
        <v>17</v>
      </c>
      <c r="G34" s="24" t="s">
        <v>123</v>
      </c>
      <c r="H34" s="25" t="s">
        <v>124</v>
      </c>
      <c r="I34" s="22" t="s">
        <v>125</v>
      </c>
    </row>
    <row r="35" spans="2:9" ht="39.75" customHeight="1" x14ac:dyDescent="0.35">
      <c r="B35" s="14" t="s">
        <v>126</v>
      </c>
      <c r="C35" s="15" t="s">
        <v>127</v>
      </c>
      <c r="D35" s="16" t="s">
        <v>122</v>
      </c>
      <c r="E35" s="17" t="s">
        <v>16</v>
      </c>
      <c r="F35" s="18" t="s">
        <v>17</v>
      </c>
      <c r="G35" s="19" t="s">
        <v>128</v>
      </c>
      <c r="H35" s="20" t="s">
        <v>129</v>
      </c>
      <c r="I35" s="16" t="s">
        <v>130</v>
      </c>
    </row>
    <row r="36" spans="2:9" ht="39.75" customHeight="1" x14ac:dyDescent="0.35">
      <c r="B36" s="30" t="s">
        <v>131</v>
      </c>
      <c r="C36" s="21" t="s">
        <v>132</v>
      </c>
      <c r="D36" s="22" t="s">
        <v>122</v>
      </c>
      <c r="E36" s="31" t="s">
        <v>133</v>
      </c>
      <c r="F36" s="23"/>
      <c r="G36" s="24" t="s">
        <v>134</v>
      </c>
      <c r="H36" s="25" t="s">
        <v>135</v>
      </c>
      <c r="I36" s="22" t="s">
        <v>136</v>
      </c>
    </row>
    <row r="37" spans="2:9" ht="39.75" customHeight="1" x14ac:dyDescent="0.35">
      <c r="B37" s="28" t="s">
        <v>137</v>
      </c>
      <c r="C37" s="15" t="s">
        <v>138</v>
      </c>
      <c r="D37" s="16" t="s">
        <v>51</v>
      </c>
      <c r="E37" s="29" t="s">
        <v>73</v>
      </c>
      <c r="F37" s="18"/>
      <c r="G37" s="19" t="s">
        <v>57</v>
      </c>
      <c r="H37" s="20" t="s">
        <v>139</v>
      </c>
      <c r="I37" s="16" t="s">
        <v>140</v>
      </c>
    </row>
    <row r="38" spans="2:9" ht="21.75" customHeight="1" x14ac:dyDescent="0.35">
      <c r="B38" s="3" t="s">
        <v>141</v>
      </c>
      <c r="C38" s="3"/>
      <c r="D38" s="3"/>
      <c r="E38" s="3"/>
      <c r="F38" s="3"/>
      <c r="G38" s="3"/>
      <c r="H38" s="3"/>
      <c r="I38" s="3"/>
    </row>
    <row r="39" spans="2:9" ht="39.75" customHeight="1" x14ac:dyDescent="0.35">
      <c r="B39" s="30" t="s">
        <v>142</v>
      </c>
      <c r="C39" s="15" t="s">
        <v>143</v>
      </c>
      <c r="D39" s="16" t="s">
        <v>144</v>
      </c>
      <c r="E39" s="31" t="s">
        <v>145</v>
      </c>
      <c r="F39" s="18"/>
      <c r="G39" s="19" t="s">
        <v>52</v>
      </c>
      <c r="H39" s="20" t="s">
        <v>146</v>
      </c>
      <c r="I39" s="16" t="s">
        <v>147</v>
      </c>
    </row>
    <row r="40" spans="2:9" ht="39.75" customHeight="1" x14ac:dyDescent="0.35">
      <c r="B40" s="30" t="s">
        <v>148</v>
      </c>
      <c r="C40" s="21" t="s">
        <v>149</v>
      </c>
      <c r="D40" s="22" t="s">
        <v>144</v>
      </c>
      <c r="E40" s="31" t="s">
        <v>133</v>
      </c>
      <c r="F40" s="23"/>
      <c r="G40" s="24" t="s">
        <v>150</v>
      </c>
      <c r="H40" s="25" t="s">
        <v>151</v>
      </c>
      <c r="I40" s="22" t="s">
        <v>152</v>
      </c>
    </row>
    <row r="41" spans="2:9" ht="39.75" customHeight="1" x14ac:dyDescent="0.35">
      <c r="B41" s="26" t="s">
        <v>153</v>
      </c>
      <c r="C41" s="15" t="s">
        <v>154</v>
      </c>
      <c r="D41" s="16" t="s">
        <v>144</v>
      </c>
      <c r="E41" s="27" t="s">
        <v>34</v>
      </c>
      <c r="F41" s="18"/>
      <c r="G41" s="19" t="s">
        <v>155</v>
      </c>
      <c r="H41" s="20" t="s">
        <v>156</v>
      </c>
      <c r="I41" s="16" t="s">
        <v>157</v>
      </c>
    </row>
    <row r="42" spans="2:9" ht="39.75" customHeight="1" x14ac:dyDescent="0.35">
      <c r="B42" s="28" t="s">
        <v>158</v>
      </c>
      <c r="C42" s="21" t="s">
        <v>159</v>
      </c>
      <c r="D42" s="22" t="s">
        <v>28</v>
      </c>
      <c r="E42" s="29" t="s">
        <v>73</v>
      </c>
      <c r="F42" s="23"/>
      <c r="G42" s="24" t="s">
        <v>160</v>
      </c>
      <c r="H42" s="25" t="s">
        <v>161</v>
      </c>
      <c r="I42" s="22" t="s">
        <v>162</v>
      </c>
    </row>
  </sheetData>
  <mergeCells count="11">
    <mergeCell ref="B38:I38"/>
    <mergeCell ref="B14:I14"/>
    <mergeCell ref="B18:I18"/>
    <mergeCell ref="B23:I23"/>
    <mergeCell ref="B29:I29"/>
    <mergeCell ref="B33:I33"/>
    <mergeCell ref="B2:I2"/>
    <mergeCell ref="B3:F3"/>
    <mergeCell ref="G3:I3"/>
    <mergeCell ref="B5:I5"/>
    <mergeCell ref="B8:I8"/>
  </mergeCells>
  <conditionalFormatting sqref="E8:E60">
    <cfRule type="cellIs" dxfId="2" priority="2" operator="equal">
      <formula>"✅ Existe e válido"</formula>
    </cfRule>
    <cfRule type="cellIs" dxfId="1" priority="3" operator="equal">
      <formula>"🔴 Em falta"</formula>
    </cfRule>
    <cfRule type="cellIs" dxfId="0" priority="4" operator="equal">
      <formula>"⚠️ Existe mas desactualizado"</formula>
    </cfRule>
  </conditionalFormatting>
  <dataValidations count="1">
    <dataValidation type="list" allowBlank="1" sqref="E8:E80" xr:uid="{00000000-0002-0000-0000-000000000000}">
      <formula1>"✅ Existe e válido,⚠️ Existe mas desactualizado,🔴 Em falta,📅 Em elaboração,— 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5"/>
  <sheetViews>
    <sheetView showGridLines="0" tabSelected="1" topLeftCell="A7" zoomScaleNormal="100" workbookViewId="0">
      <selection activeCell="H10" sqref="H10"/>
    </sheetView>
  </sheetViews>
  <sheetFormatPr defaultColWidth="8.6328125" defaultRowHeight="14.5" x14ac:dyDescent="0.35"/>
  <cols>
    <col min="1" max="1" width="3" customWidth="1"/>
    <col min="2" max="2" width="37.36328125" customWidth="1"/>
    <col min="3" max="4" width="22" customWidth="1"/>
    <col min="5" max="5" width="3" customWidth="1"/>
  </cols>
  <sheetData>
    <row r="2" spans="2:4" ht="33.75" customHeight="1" x14ac:dyDescent="0.35">
      <c r="B2" s="2" t="s">
        <v>163</v>
      </c>
      <c r="C2" s="2"/>
      <c r="D2" s="2"/>
    </row>
    <row r="4" spans="2:4" ht="25.5" customHeight="1" x14ac:dyDescent="0.35">
      <c r="B4" s="1" t="s">
        <v>164</v>
      </c>
      <c r="C4" s="1"/>
      <c r="D4" s="1"/>
    </row>
    <row r="5" spans="2:4" ht="30" customHeight="1" x14ac:dyDescent="0.35">
      <c r="B5" s="32" t="s">
        <v>165</v>
      </c>
      <c r="C5" s="41">
        <f>COUNTIF('📁 ÍNDICE MESTRE'!E8:E60,"✅ Existe e válido")</f>
        <v>12</v>
      </c>
      <c r="D5" s="41"/>
    </row>
    <row r="6" spans="2:4" ht="30" customHeight="1" x14ac:dyDescent="0.35">
      <c r="B6" s="33" t="s">
        <v>166</v>
      </c>
      <c r="C6" s="42">
        <f>COUNTIF('📁 ÍNDICE MESTRE'!E8:E60,"⚠️ Existe mas desactualizado")</f>
        <v>8</v>
      </c>
      <c r="D6" s="42"/>
    </row>
    <row r="7" spans="2:4" ht="30" customHeight="1" x14ac:dyDescent="0.35">
      <c r="B7" s="34" t="s">
        <v>167</v>
      </c>
      <c r="C7" s="43">
        <f>COUNTIF('📁 ÍNDICE MESTRE'!E8:E60,"🔴 Em falta")</f>
        <v>5</v>
      </c>
      <c r="D7" s="43"/>
    </row>
    <row r="8" spans="2:4" ht="30" customHeight="1" x14ac:dyDescent="0.35">
      <c r="B8" s="35" t="s">
        <v>168</v>
      </c>
      <c r="C8" s="44">
        <f>COUNTIF('📁 ÍNDICE MESTRE'!E8:E60,"📅 Em elaboração")</f>
        <v>1</v>
      </c>
      <c r="D8" s="44"/>
    </row>
    <row r="9" spans="2:4" ht="30" customHeight="1" x14ac:dyDescent="0.35">
      <c r="B9" s="36" t="s">
        <v>169</v>
      </c>
      <c r="C9" s="45">
        <f>COUNTA('📁 ÍNDICE MESTRE'!B8:B60)-COUNTIF('📁 ÍNDICE MESTRE'!B8:B60,"")</f>
        <v>17</v>
      </c>
      <c r="D9" s="45"/>
    </row>
    <row r="10" spans="2:4" ht="30" customHeight="1" x14ac:dyDescent="0.35">
      <c r="B10" s="35" t="s">
        <v>170</v>
      </c>
      <c r="C10" s="46" t="str">
        <f>TEXT(COUNTIF('📁 ÍNDICE MESTRE'!E8:E60,"✅ Existe e válido")/MAX(1,COUNTA('📁 ÍNDICE MESTRE'!E8:E60)-COUNTIF('📁 ÍNDICE MESTRE'!E8:E60,"— N/A")-COUNTIF('📁 ÍNDICE MESTRE'!E8:E60,""))*100,"0")&amp;"%"</f>
        <v>1200%</v>
      </c>
      <c r="D10" s="46"/>
    </row>
    <row r="12" spans="2:4" ht="25.5" customHeight="1" x14ac:dyDescent="0.35">
      <c r="B12" s="37" t="s">
        <v>171</v>
      </c>
      <c r="C12" s="37"/>
      <c r="D12" s="37"/>
    </row>
    <row r="13" spans="2:4" ht="25.5" customHeight="1" x14ac:dyDescent="0.35">
      <c r="B13" s="40" t="s">
        <v>172</v>
      </c>
      <c r="C13" s="38" t="s">
        <v>173</v>
      </c>
      <c r="D13" s="38"/>
    </row>
    <row r="15" spans="2:4" ht="48" customHeight="1" x14ac:dyDescent="0.35">
      <c r="B15" s="39" t="s">
        <v>174</v>
      </c>
      <c r="C15" s="39"/>
      <c r="D15" s="39"/>
    </row>
  </sheetData>
  <mergeCells count="11">
    <mergeCell ref="B15:D15"/>
    <mergeCell ref="C8:D8"/>
    <mergeCell ref="C9:D9"/>
    <mergeCell ref="C10:D10"/>
    <mergeCell ref="B12:D12"/>
    <mergeCell ref="C13:D13"/>
    <mergeCell ref="B2:D2"/>
    <mergeCell ref="B4:D4"/>
    <mergeCell ref="C5:D5"/>
    <mergeCell ref="C6:D6"/>
    <mergeCell ref="C7:D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📁 ÍNDICE MESTRE</vt:lpstr>
      <vt:lpstr>📊 DASHBOARD CONFORMIDADE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EMERSON LUIZ SANTOS</cp:lastModifiedBy>
  <cp:revision>0</cp:revision>
  <dcterms:created xsi:type="dcterms:W3CDTF">2026-03-08T16:22:42Z</dcterms:created>
  <dcterms:modified xsi:type="dcterms:W3CDTF">2026-03-08T16:42:07Z</dcterms:modified>
  <dc:language>en-US</dc:language>
</cp:coreProperties>
</file>