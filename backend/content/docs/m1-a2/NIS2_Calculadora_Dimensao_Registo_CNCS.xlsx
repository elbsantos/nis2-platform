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2\"/>
    </mc:Choice>
  </mc:AlternateContent>
  <xr:revisionPtr revIDLastSave="0" documentId="13_ncr:1_{93AAFDEF-1E3D-4CD5-8873-40E2080FCF3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🔢 CALCULADORA DE DIMENSÃO" sheetId="1" r:id="rId1"/>
    <sheet name="🏢 CONSOLIDAÇÃO DE GRUPO" sheetId="2" r:id="rId2"/>
    <sheet name="📝 REGISTO NO CN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9" i="2" s="1"/>
  <c r="C15" i="2"/>
  <c r="C18" i="2" s="1"/>
  <c r="C21" i="1"/>
  <c r="C20" i="1"/>
  <c r="C19" i="1"/>
  <c r="C18" i="1"/>
  <c r="C20" i="2" l="1"/>
</calcChain>
</file>

<file path=xl/sharedStrings.xml><?xml version="1.0" encoding="utf-8"?>
<sst xmlns="http://schemas.openxmlformats.org/spreadsheetml/2006/main" count="128" uniqueCount="125">
  <si>
    <t>CALCULADORA DE DIMENSÃO DE EMPRESA — NIS2 / DL 125/2025</t>
  </si>
  <si>
    <t>Recomendação CE 2003/361/CE  ·  Art. 2.º DL 125/2025  ·  Critérios de UTA e Faturação</t>
  </si>
  <si>
    <t>ℹ️  Preencha as células AMARELAS com os dados da sua empresa. O resultado é calculado automaticamente. Se faz parte de um grupo empresarial, use a Folha 'CONSOLIDAÇÃO DE GRUPO'.</t>
  </si>
  <si>
    <t>BLOCO A — DADOS DA EMPRESA INDIVIDUAL</t>
  </si>
  <si>
    <t>Campo</t>
  </si>
  <si>
    <t>O seu valor</t>
  </si>
  <si>
    <t>Definição Legal</t>
  </si>
  <si>
    <t>Número total de colaboradores
(equivalentes a tempo inteiro — UTA)</t>
  </si>
  <si>
    <t>Contar funcionários efetivos + equivalentes a tempo inteiro (part-time a 50% = 0,5 UTA). Incluir pessoal contratado diretamente pela empresa. Excluir estagiários não remunerados.</t>
  </si>
  <si>
    <t>Volume de negócios anual (€)
(último exercício fiscal completo)</t>
  </si>
  <si>
    <t>Total das receitas líquidas de vendas e serviços do último ano fiscal. Excluir IVA e outros impostos indiretos. Usar valor do balanço aprovado.</t>
  </si>
  <si>
    <t>Balanço total anual (€)
(total do ativo no balanço)</t>
  </si>
  <si>
    <t>Total do Ativo do balanço (soma de Ativo Corrente + Ativo Não Corrente). Relevante quando o volume de negócios é baixo mas a empresa é capital-intensiva.</t>
  </si>
  <si>
    <t>Nome completo da empresa</t>
  </si>
  <si>
    <t>Denominação social registada no Registo Comercial.</t>
  </si>
  <si>
    <t>NIF da empresa</t>
  </si>
  <si>
    <t>Número de Identificação Fiscal da entidade.</t>
  </si>
  <si>
    <t>CAE principal</t>
  </si>
  <si>
    <t>Código de Atividade Económica principal registado no portal do INE/AT.</t>
  </si>
  <si>
    <t>BLOCO B — RESULTADO DA CLASSIFICAÇÃO DE DIMENSÃO</t>
  </si>
  <si>
    <t>Categoria</t>
  </si>
  <si>
    <t>Resultado</t>
  </si>
  <si>
    <t>Implicação NIS2</t>
  </si>
  <si>
    <t>📏  MICROEMPRESA
(Fora do âmbito geral NIS2)</t>
  </si>
  <si>
    <t>Geralmente EXCLUÍDA do âmbito direto NIS2. Verificar exceções de criticidade (DNS, serviços de confiança, fornecedor único).</t>
  </si>
  <si>
    <t>📏  PEQUENA EMPRESA
(Fora do âmbito geral NIS2)</t>
  </si>
  <si>
    <t>Geralmente EXCLUÍDA. Mas verificar se presta serviços a entidades NIS2 — pode ter obrigações indiretas.</t>
  </si>
  <si>
    <t>📏  MÉDIA EMPRESA
(Âmbito NIS2 — Entidade Importante possível)</t>
  </si>
  <si>
    <t>ABRANGIDA se operar em setor Anexo I ou II. Classificação típica: Entidade Importante (EI).</t>
  </si>
  <si>
    <t>📏  GRANDE EMPRESA
(Âmbito NIS2 — EE ou EI conforme setor)</t>
  </si>
  <si>
    <t>ABRANGIDA. Se setor Anexo I: Entidade Essencial (EE). Se setor Anexo II: Entidade Importante (EI).</t>
  </si>
  <si>
    <t>BLOCO C — VERIFICAÇÃO DE EXCEÇÕES DE CRITICIDADE (Art. 2.º §3 DL 125/2025)</t>
  </si>
  <si>
    <t>⚠️  ATENÇÃO: Mesmo que seja microempresa ou pequena empresa, pode estar ABRANGIDA pela NIS2 se se enquadrar numa das seguintes exceções. Responda SIM ou NÃO em cada linha.</t>
  </si>
  <si>
    <t>Exceção de Criticidade</t>
  </si>
  <si>
    <t>SIM / NÃO</t>
  </si>
  <si>
    <t>Base Legal e Implicação</t>
  </si>
  <si>
    <t>Presta serviços de comunicações eletrónicas abertas ao público
(operadores de telecomunicações, ISPs)?</t>
  </si>
  <si>
    <t>Art. 2.º §3(a) DL 125/2025. Se SIM: ABRANGIDA independentemente da dimensão → EE ou EI conforme setor.</t>
  </si>
  <si>
    <t>Presta serviços de confiança qualificados
(certificados digitais, assinaturas eletrónicas qualificadas)?</t>
  </si>
  <si>
    <t>Art. 2.º §3(b). Regulamento eIDAS + DL 125/2025. Se SIM: ABRANGIDA → tipicamente EE.</t>
  </si>
  <si>
    <t>Opera registos de nomes de domínio TLD ou presta serviços DNS ao público?</t>
  </si>
  <si>
    <t>Art. 2.º §3(c). Ex: gestão do domínio .pt. Se SIM: ABRANGIDA → EE.</t>
  </si>
  <si>
    <t>É o ÚNICO prestador de um serviço essencial na sua região/país
(monopólio natural ou geográfico)?</t>
  </si>
  <si>
    <t>Art. 2.º §4 DL 125/2025. Decisão discricionária do Estado Português. Se SIM: possível designação como EE.</t>
  </si>
  <si>
    <t>Uma falha do seu serviço poderia ter impacto significativo
em outros países da UE?</t>
  </si>
  <si>
    <t>Art. 2.º §5 (impacto transfronteiriço). Relevante para fornecedores de Cloud ou infraestrutura digital.</t>
  </si>
  <si>
    <t>CALCULADORA DE CONSOLIDAÇÃO DE GRUPO EMPRESARIAL</t>
  </si>
  <si>
    <t>Regra de Consolidação — Art. 3.º Recomendação CE 2003/361/CE · Art. 2.º §2 DL 125/2025</t>
  </si>
  <si>
    <t>⚠️  ATENÇÃO CRITICA: Se a sua empresa faz parte de um grupo empresarial (filial, subsidiária, empresa-mãe ou associada), a dimensão para efeitos NIS2 é calculada com base nos dados CONSOLIDADOS do grupo inteiro — não apenas da entidade portuguesa.</t>
  </si>
  <si>
    <t>Entidade do Grupo</t>
  </si>
  <si>
    <t>Nº Colaboradores</t>
  </si>
  <si>
    <t>Volume Negócios (€)</t>
  </si>
  <si>
    <t>País</t>
  </si>
  <si>
    <t>Empresa-Mãe (holding ou matriz do grupo)</t>
  </si>
  <si>
    <t>Empresa Portuguesa (a que está a classificar)</t>
  </si>
  <si>
    <t>Portugal</t>
  </si>
  <si>
    <t>Filial 1 (nome)</t>
  </si>
  <si>
    <t>Filial 2 (nome)</t>
  </si>
  <si>
    <t>Filial 3 (nome)</t>
  </si>
  <si>
    <t>Empresa Associada 1 (participação ≥ 25%)</t>
  </si>
  <si>
    <t>Empresa Associada 2 (participação ≥ 25%)</t>
  </si>
  <si>
    <t>TOTAL CONSOLIDADO DO GRUPO</t>
  </si>
  <si>
    <t>Grupo inteiro</t>
  </si>
  <si>
    <t>RESULTADO DA DIMENSÃO CONSOLIDADA</t>
  </si>
  <si>
    <t>Nº total de colaboradores do grupo:</t>
  </si>
  <si>
    <t>Se ≥ 250 → Grande Empresa para efeitos NIS2</t>
  </si>
  <si>
    <t>Volume de negócios consolidado (€):</t>
  </si>
  <si>
    <t>Se ≥ 50.000.000 → Grande Empresa</t>
  </si>
  <si>
    <t>Classificação de dimensão resultante:</t>
  </si>
  <si>
    <t>Baseado nos totais consolidados acima</t>
  </si>
  <si>
    <t>FORMULÁRIO DE PREPARAÇÃO PARA REGISTO NO CNCS</t>
  </si>
  <si>
    <t>Art. 27.º DL 125/2025  ·  Portal cncs.gov.pt  ·  Preencher ANTES de aceder ao portal</t>
  </si>
  <si>
    <t>📋  Reúna TODOS os dados abaixo antes de aceder ao portal do CNCS. Um registo incompleto pode gerar atrasos e multas. Campos marcados com ★ são OBRIGATÓRIOS pelo DL 125/2025.</t>
  </si>
  <si>
    <t>Campo do Registo</t>
  </si>
  <si>
    <t>Informação a Preencher</t>
  </si>
  <si>
    <t>Notas / Onde Encontrar</t>
  </si>
  <si>
    <t xml:space="preserve">  IDENTIFICAÇÃO DA ENTIDADE</t>
  </si>
  <si>
    <t>Conforme certidão permanente do Registo Comercial</t>
  </si>
  <si>
    <t>Portal das Finanças (at.gov.pt)</t>
  </si>
  <si>
    <t>Morada registada na conservatória</t>
  </si>
  <si>
    <t>Portal do INE (ine.pt) ou declaração de início de atividade AT</t>
  </si>
  <si>
    <t>Usar a Ferramenta de Autoavaliação EE/EI (Material Aula 1.1)</t>
  </si>
  <si>
    <t>Resultado da autoavaliação — confirmar com CNCS se dúvida</t>
  </si>
  <si>
    <t xml:space="preserve">  DADOS DO RESPONSÁVEL DE SEGURANÇA (CISO)</t>
  </si>
  <si>
    <t>Pessoa nomeada formalmente pela gestão de topo</t>
  </si>
  <si>
    <t>Email corporativo — não pessoal. Será o contacto oficial com CNCS</t>
  </si>
  <si>
    <t>Contacto 24/7 para situações de incidente</t>
  </si>
  <si>
    <t>Ex: 'Responsável de Cibersegurança', 'CISO', 'Diretor de TI'</t>
  </si>
  <si>
    <t>Contacto alternativo de gestão de topo</t>
  </si>
  <si>
    <t>CEO ou COO — para quando o CISO não está disponível</t>
  </si>
  <si>
    <t xml:space="preserve">  INFRAESTRUTURA TÉCNICA</t>
  </si>
  <si>
    <t>Pedir ao fornecedor de internet (ISP) ou verificar em whatismyip.com</t>
  </si>
  <si>
    <t>Intervalos de IP (ranges CIDR)</t>
  </si>
  <si>
    <t>Ex: 192.168.1.0/24 — pedir ao administrador de rede</t>
  </si>
  <si>
    <t>Domínios web geridos pela entidade</t>
  </si>
  <si>
    <t>Lista de todos os domínios .pt e outros registados em nome da empresa</t>
  </si>
  <si>
    <t>Sistemas expostos à internet (serviços)</t>
  </si>
  <si>
    <t>Ex: VPN, webmail, website, portal de cliente, API pública</t>
  </si>
  <si>
    <t xml:space="preserve">  INFORMAÇÃO COMPLEMENTAR</t>
  </si>
  <si>
    <t>Número de trabalhadores (UTA)</t>
  </si>
  <si>
    <t>Calculado na Folha 'CALCULADORA DE DIMENSÃO'</t>
  </si>
  <si>
    <t>Volume de negócios anual (€)</t>
  </si>
  <si>
    <t>Último exercício fiscal aprovado</t>
  </si>
  <si>
    <t>País(es) de operação (além de Portugal)</t>
  </si>
  <si>
    <t>Se opera noutros Estados-Membros — relevante para impacto transfronteiriço</t>
  </si>
  <si>
    <t>Certificações de segurança existentes</t>
  </si>
  <si>
    <t>Ex: ISO 27001, SOC2, NIS2 Assessment — se existirem</t>
  </si>
  <si>
    <t>Data prevista para conformidade total</t>
  </si>
  <si>
    <t>Prazo realista para implementar todas as 10 medidas mínimas NIS2</t>
  </si>
  <si>
    <t>Após submissão: guardar o número de referência do registo CNCS e email de confirmação como evidência de conformidade.</t>
  </si>
  <si>
    <t>Denominação social completa</t>
  </si>
  <si>
    <t>NIF (Número de Identificação Fiscal)</t>
  </si>
  <si>
    <t>Sede social (morada completa)</t>
  </si>
  <si>
    <t>CAE principal e secundários</t>
  </si>
  <si>
    <t>Setor NIS2 (Anexo I ou II)</t>
  </si>
  <si>
    <t>Classificação (EE ou EI)</t>
  </si>
  <si>
    <t>Nome completo do CISO / Responsável</t>
  </si>
  <si>
    <t>Email do CISO (institucional)</t>
  </si>
  <si>
    <t>Telefone direto do CISO</t>
  </si>
  <si>
    <t>Cargo / função formal</t>
  </si>
  <si>
    <t>Endereços IP públicos utilizados</t>
  </si>
  <si>
    <t>Help Games</t>
  </si>
  <si>
    <t>CAE356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</si>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</sst>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7B5000"/>
      <name val="Arial"/>
      <family val="2"/>
    </font>
    <font>
      <b/>
      <sz val="10"/>
      <color rgb="FFFFFFFF"/>
      <name val="Arial"/>
      <family val="2"/>
    </font>
    <font>
      <sz val="9"/>
      <color rgb="FF3D3D3D"/>
      <name val="Arial"/>
      <family val="2"/>
    </font>
    <font>
      <b/>
      <sz val="10"/>
      <color rgb="FF7B5000"/>
      <name val="Arial"/>
      <family val="2"/>
    </font>
    <font>
      <sz val="8"/>
      <color rgb="FF7F7F7F"/>
      <name val="Arial"/>
      <family val="2"/>
    </font>
    <font>
      <b/>
      <sz val="9"/>
      <color rgb="FF1A5C38"/>
      <name val="Arial"/>
      <family val="2"/>
    </font>
    <font>
      <b/>
      <sz val="10"/>
      <color rgb="FF1A5C38"/>
      <name val="Arial"/>
      <family val="2"/>
    </font>
    <font>
      <sz val="8"/>
      <color rgb="FF1A5C38"/>
      <name val="Arial"/>
      <family val="2"/>
    </font>
    <font>
      <b/>
      <sz val="9"/>
      <color rgb="FF7B5000"/>
      <name val="Arial"/>
      <family val="2"/>
    </font>
    <font>
      <sz val="8"/>
      <color rgb="FF7B5000"/>
      <name val="Arial"/>
      <family val="2"/>
    </font>
    <font>
      <b/>
      <sz val="9"/>
      <color rgb="FFC55A11"/>
      <name val="Arial"/>
      <family val="2"/>
    </font>
    <font>
      <b/>
      <sz val="10"/>
      <color rgb="FFC55A11"/>
      <name val="Arial"/>
      <family val="2"/>
    </font>
    <font>
      <sz val="8"/>
      <color rgb="FFC55A11"/>
      <name val="Arial"/>
      <family val="2"/>
    </font>
    <font>
      <sz val="9"/>
      <color rgb="FF9B0000"/>
      <name val="Arial"/>
      <family val="2"/>
    </font>
    <font>
      <b/>
      <sz val="13"/>
      <color rgb="FFFFFFFF"/>
      <name val="Arial"/>
      <family val="2"/>
    </font>
    <font>
      <b/>
      <sz val="10"/>
      <color rgb="FF3D3D3D"/>
      <name val="Arial"/>
      <family val="2"/>
    </font>
    <font>
      <b/>
      <sz val="12"/>
      <color rgb="FF1F3864"/>
      <name val="Arial"/>
      <family val="2"/>
    </font>
    <font>
      <b/>
      <sz val="9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9B0000"/>
      <name val="Arial"/>
      <family val="2"/>
    </font>
    <font>
      <sz val="9"/>
      <color rgb="FF1F3864"/>
      <name val="Arial"/>
      <family val="2"/>
    </font>
    <font>
      <i/>
      <sz val="9"/>
      <color rgb="FF1A5C3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E2F0EA"/>
        <bgColor rgb="FFEBF3FB"/>
      </patternFill>
    </fill>
    <fill>
      <patternFill patternType="solid">
        <fgColor rgb="FFFCE4D6"/>
        <bgColor rgb="FFFDECEA"/>
      </patternFill>
    </fill>
    <fill>
      <patternFill patternType="solid">
        <fgColor rgb="FF9B0000"/>
        <bgColor rgb="FF800000"/>
      </patternFill>
    </fill>
    <fill>
      <patternFill patternType="solid">
        <fgColor rgb="FFFDECEA"/>
        <bgColor rgb="FFF4F4F4"/>
      </patternFill>
    </fill>
    <fill>
      <patternFill patternType="solid">
        <fgColor rgb="FFD6E4F0"/>
        <bgColor rgb="FFE2F0EA"/>
      </patternFill>
    </fill>
    <fill>
      <patternFill patternType="solid">
        <fgColor rgb="FFEBF3FB"/>
        <bgColor rgb="FFF4F4F4"/>
      </patternFill>
    </fill>
  </fills>
  <borders count="10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  <border>
      <left style="thin">
        <color rgb="FF9B0000"/>
      </left>
      <right/>
      <top style="thin">
        <color rgb="FF9B0000"/>
      </top>
      <bottom style="thin">
        <color rgb="FF9B00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D52"/>
      </left>
      <right/>
      <top style="thin">
        <color rgb="FF2E7D52"/>
      </top>
      <bottom style="thin">
        <color rgb="FF2E7D52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45">
    <xf numFmtId="0" fontId="0" fillId="0" borderId="0" xfId="0"/>
    <xf numFmtId="0" fontId="25" fillId="7" borderId="9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4" fillId="12" borderId="8" xfId="0" applyFont="1" applyFill="1" applyBorder="1" applyAlignment="1">
      <alignment horizontal="left" vertical="center" wrapText="1"/>
    </xf>
    <xf numFmtId="0" fontId="8" fillId="12" borderId="7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7" fillId="10" borderId="5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left" vertical="center" wrapText="1"/>
    </xf>
    <xf numFmtId="0" fontId="16" fillId="8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left" vertical="center" wrapText="1"/>
    </xf>
    <xf numFmtId="0" fontId="21" fillId="6" borderId="3" xfId="0" applyFont="1" applyFill="1" applyBorder="1" applyAlignment="1">
      <alignment horizontal="left" vertical="center" wrapText="1"/>
    </xf>
    <xf numFmtId="0" fontId="21" fillId="12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43" fontId="1" fillId="0" borderId="4" xfId="1" applyBorder="1" applyAlignment="1">
      <alignment horizontal="center" vertical="center"/>
    </xf>
    <xf numFmtId="49" fontId="1" fillId="0" borderId="4" xfId="1" applyNumberForma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4" fontId="19" fillId="4" borderId="4" xfId="0" applyNumberFormat="1" applyFont="1" applyFill="1" applyBorder="1" applyAlignment="1">
      <alignment horizontal="center" vertical="center"/>
    </xf>
    <xf numFmtId="4" fontId="22" fillId="5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2E7D52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0"/>
  <sheetViews>
    <sheetView showGridLines="0" tabSelected="1" zoomScaleNormal="100" workbookViewId="0">
      <selection activeCell="H15" sqref="H15"/>
    </sheetView>
  </sheetViews>
  <sheetFormatPr defaultColWidth="8.6328125" defaultRowHeight="14.5" x14ac:dyDescent="0.35"/>
  <cols>
    <col min="1" max="1" width="3" customWidth="1"/>
    <col min="2" max="2" width="38" customWidth="1"/>
    <col min="3" max="3" width="20" customWidth="1"/>
    <col min="4" max="4" width="33.36328125" customWidth="1"/>
    <col min="5" max="5" width="3" customWidth="1"/>
  </cols>
  <sheetData>
    <row r="2" spans="2:4" ht="37.5" customHeight="1" x14ac:dyDescent="0.35">
      <c r="B2" s="13" t="s">
        <v>0</v>
      </c>
      <c r="C2" s="13"/>
      <c r="D2" s="13"/>
    </row>
    <row r="3" spans="2:4" ht="19.5" customHeight="1" x14ac:dyDescent="0.35">
      <c r="B3" s="12" t="s">
        <v>1</v>
      </c>
      <c r="C3" s="12"/>
      <c r="D3" s="12"/>
    </row>
    <row r="5" spans="2:4" ht="33.75" customHeight="1" x14ac:dyDescent="0.35">
      <c r="B5" s="11" t="s">
        <v>2</v>
      </c>
      <c r="C5" s="11"/>
      <c r="D5" s="11"/>
    </row>
    <row r="7" spans="2:4" ht="24" customHeight="1" x14ac:dyDescent="0.35">
      <c r="B7" s="10" t="s">
        <v>3</v>
      </c>
      <c r="C7" s="10"/>
      <c r="D7" s="10"/>
    </row>
    <row r="8" spans="2:4" ht="27.75" customHeight="1" x14ac:dyDescent="0.35">
      <c r="B8" s="14" t="s">
        <v>4</v>
      </c>
      <c r="C8" s="14" t="s">
        <v>5</v>
      </c>
      <c r="D8" s="14" t="s">
        <v>6</v>
      </c>
    </row>
    <row r="9" spans="2:4" ht="41.5" customHeight="1" x14ac:dyDescent="0.35">
      <c r="B9" s="15" t="s">
        <v>7</v>
      </c>
      <c r="C9" s="38">
        <v>230</v>
      </c>
      <c r="D9" s="17" t="s">
        <v>8</v>
      </c>
    </row>
    <row r="10" spans="2:4" ht="40.5" customHeight="1" x14ac:dyDescent="0.35">
      <c r="B10" s="18" t="s">
        <v>9</v>
      </c>
      <c r="C10" s="38">
        <v>990000</v>
      </c>
      <c r="D10" s="19" t="s">
        <v>10</v>
      </c>
    </row>
    <row r="11" spans="2:4" ht="40.5" customHeight="1" x14ac:dyDescent="0.35">
      <c r="B11" s="15" t="s">
        <v>11</v>
      </c>
      <c r="C11" s="38">
        <v>356000</v>
      </c>
      <c r="D11" s="17" t="s">
        <v>12</v>
      </c>
    </row>
    <row r="12" spans="2:4" ht="37.5" customHeight="1" x14ac:dyDescent="0.35">
      <c r="B12" s="18" t="s">
        <v>13</v>
      </c>
      <c r="C12" s="38" t="s">
        <v>121</v>
      </c>
      <c r="D12" s="19" t="s">
        <v>14</v>
      </c>
    </row>
    <row r="13" spans="2:4" ht="37.5" customHeight="1" x14ac:dyDescent="0.35">
      <c r="B13" s="15" t="s">
        <v>15</v>
      </c>
      <c r="C13" s="39">
        <v>314764890</v>
      </c>
      <c r="D13" s="17" t="s">
        <v>16</v>
      </c>
    </row>
    <row r="14" spans="2:4" ht="37.5" customHeight="1" x14ac:dyDescent="0.35">
      <c r="B14" s="18" t="s">
        <v>17</v>
      </c>
      <c r="C14" s="39" t="s">
        <v>122</v>
      </c>
      <c r="D14" s="19" t="s">
        <v>18</v>
      </c>
    </row>
    <row r="16" spans="2:4" ht="24" customHeight="1" x14ac:dyDescent="0.35">
      <c r="B16" s="10" t="s">
        <v>19</v>
      </c>
      <c r="C16" s="10"/>
      <c r="D16" s="10"/>
    </row>
    <row r="17" spans="2:4" ht="27.75" customHeight="1" x14ac:dyDescent="0.35">
      <c r="B17" s="14" t="s">
        <v>20</v>
      </c>
      <c r="C17" s="14" t="s">
        <v>21</v>
      </c>
      <c r="D17" s="14" t="s">
        <v>22</v>
      </c>
    </row>
    <row r="18" spans="2:4" ht="39.75" customHeight="1" x14ac:dyDescent="0.35">
      <c r="B18" s="20" t="s">
        <v>23</v>
      </c>
      <c r="C18" s="37" t="str">
        <f>IF(AND(C9&lt;50,C10&lt;10000000),"✅ SIM — MICROEMPRESA","❌ NÃO")</f>
        <v>❌ NÃO</v>
      </c>
      <c r="D18" s="21" t="s">
        <v>24</v>
      </c>
    </row>
    <row r="19" spans="2:4" ht="39.75" customHeight="1" x14ac:dyDescent="0.35">
      <c r="B19" s="20" t="s">
        <v>25</v>
      </c>
      <c r="C19" s="37" t="str">
        <f>IF(AND(C9&lt;50,C10&lt;10000000,C9&gt;=10),"✅ SIM — PEQUENA","❌ NÃO")</f>
        <v>❌ NÃO</v>
      </c>
      <c r="D19" s="21" t="s">
        <v>26</v>
      </c>
    </row>
    <row r="20" spans="2:4" ht="39.75" customHeight="1" x14ac:dyDescent="0.35">
      <c r="B20" s="22" t="s">
        <v>27</v>
      </c>
      <c r="C20" s="40" t="str">
        <f>IF(AND(C9&gt;=50,C9&lt;250,OR(C10&gt;=10000000,C10&lt;50000000)),"✅ SIM — MÉDIA EMPRESA","❌ NÃO")</f>
        <v>✅ SIM — MÉDIA EMPRESA</v>
      </c>
      <c r="D20" s="23" t="s">
        <v>28</v>
      </c>
    </row>
    <row r="21" spans="2:4" ht="39.75" customHeight="1" x14ac:dyDescent="0.35">
      <c r="B21" s="24" t="s">
        <v>29</v>
      </c>
      <c r="C21" s="41" t="str">
        <f>IF(OR(C9&gt;=250,C10&gt;=50000000),"✅ SIM — GRANDE EMPRESA","❌ NÃO")</f>
        <v>❌ NÃO</v>
      </c>
      <c r="D21" s="25" t="s">
        <v>30</v>
      </c>
    </row>
    <row r="23" spans="2:4" ht="24" customHeight="1" x14ac:dyDescent="0.35">
      <c r="B23" s="9" t="s">
        <v>31</v>
      </c>
      <c r="C23" s="9"/>
      <c r="D23" s="9"/>
    </row>
    <row r="24" spans="2:4" ht="33.75" customHeight="1" x14ac:dyDescent="0.35">
      <c r="B24" s="8" t="s">
        <v>32</v>
      </c>
      <c r="C24" s="8"/>
      <c r="D24" s="8"/>
    </row>
    <row r="25" spans="2:4" ht="25.5" customHeight="1" x14ac:dyDescent="0.35">
      <c r="B25" s="14" t="s">
        <v>33</v>
      </c>
      <c r="C25" s="14" t="s">
        <v>34</v>
      </c>
      <c r="D25" s="14" t="s">
        <v>35</v>
      </c>
    </row>
    <row r="26" spans="2:4" ht="39.75" customHeight="1" x14ac:dyDescent="0.35">
      <c r="B26" s="26" t="s">
        <v>36</v>
      </c>
      <c r="C26" s="16" t="s">
        <v>123</v>
      </c>
      <c r="D26" s="27" t="s">
        <v>37</v>
      </c>
    </row>
    <row r="27" spans="2:4" ht="39.75" customHeight="1" x14ac:dyDescent="0.35">
      <c r="B27" s="15" t="s">
        <v>38</v>
      </c>
      <c r="C27" s="16" t="s">
        <v>123</v>
      </c>
      <c r="D27" s="17" t="s">
        <v>39</v>
      </c>
    </row>
    <row r="28" spans="2:4" ht="39.75" customHeight="1" x14ac:dyDescent="0.35">
      <c r="B28" s="26" t="s">
        <v>40</v>
      </c>
      <c r="C28" s="16" t="s">
        <v>123</v>
      </c>
      <c r="D28" s="27" t="s">
        <v>41</v>
      </c>
    </row>
    <row r="29" spans="2:4" ht="39.75" customHeight="1" x14ac:dyDescent="0.35">
      <c r="B29" s="15" t="s">
        <v>42</v>
      </c>
      <c r="C29" s="16" t="s">
        <v>124</v>
      </c>
      <c r="D29" s="17" t="s">
        <v>43</v>
      </c>
    </row>
    <row r="30" spans="2:4" ht="39.75" customHeight="1" x14ac:dyDescent="0.35">
      <c r="B30" s="26" t="s">
        <v>44</v>
      </c>
      <c r="C30" s="16" t="s">
        <v>123</v>
      </c>
      <c r="D30" s="27" t="s">
        <v>45</v>
      </c>
    </row>
  </sheetData>
  <mergeCells count="7">
    <mergeCell ref="B23:D23"/>
    <mergeCell ref="B24:D24"/>
    <mergeCell ref="B2:D2"/>
    <mergeCell ref="B3:D3"/>
    <mergeCell ref="B5:D5"/>
    <mergeCell ref="B7:D7"/>
    <mergeCell ref="B16:D16"/>
  </mergeCells>
  <dataValidations count="1">
    <dataValidation type="list" allowBlank="1" sqref="C26:C35" xr:uid="{00000000-0002-0000-0000-000000000000}">
      <formula1>"SIM,NÃO,NÃO SEI"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showGridLines="0" topLeftCell="A6" zoomScaleNormal="100" workbookViewId="0">
      <selection activeCell="I11" sqref="I11"/>
    </sheetView>
  </sheetViews>
  <sheetFormatPr defaultColWidth="8.6328125" defaultRowHeight="14.5" x14ac:dyDescent="0.35"/>
  <cols>
    <col min="1" max="1" width="3" customWidth="1"/>
    <col min="2" max="2" width="34" customWidth="1"/>
    <col min="3" max="3" width="20.36328125" customWidth="1"/>
    <col min="4" max="5" width="18" customWidth="1"/>
    <col min="6" max="6" width="3" customWidth="1"/>
  </cols>
  <sheetData>
    <row r="2" spans="2:5" ht="36" customHeight="1" x14ac:dyDescent="0.35">
      <c r="B2" s="7" t="s">
        <v>46</v>
      </c>
      <c r="C2" s="7"/>
      <c r="D2" s="7"/>
      <c r="E2" s="7"/>
    </row>
    <row r="3" spans="2:5" ht="19.5" customHeight="1" x14ac:dyDescent="0.35">
      <c r="B3" s="12" t="s">
        <v>47</v>
      </c>
      <c r="C3" s="12"/>
      <c r="D3" s="12"/>
      <c r="E3" s="12"/>
    </row>
    <row r="5" spans="2:5" ht="42" customHeight="1" x14ac:dyDescent="0.35">
      <c r="B5" s="8" t="s">
        <v>48</v>
      </c>
      <c r="C5" s="8"/>
      <c r="D5" s="8"/>
      <c r="E5" s="8"/>
    </row>
    <row r="7" spans="2:5" ht="30" customHeight="1" x14ac:dyDescent="0.35">
      <c r="B7" s="28" t="s">
        <v>49</v>
      </c>
      <c r="C7" s="28" t="s">
        <v>50</v>
      </c>
      <c r="D7" s="28" t="s">
        <v>51</v>
      </c>
      <c r="E7" s="28" t="s">
        <v>52</v>
      </c>
    </row>
    <row r="8" spans="2:5" ht="33.75" customHeight="1" x14ac:dyDescent="0.35">
      <c r="B8" s="15" t="s">
        <v>53</v>
      </c>
      <c r="C8" s="43">
        <v>257</v>
      </c>
      <c r="D8" s="43">
        <v>1500000</v>
      </c>
      <c r="E8" s="29" t="s">
        <v>55</v>
      </c>
    </row>
    <row r="9" spans="2:5" ht="33.75" customHeight="1" x14ac:dyDescent="0.35">
      <c r="B9" s="15" t="s">
        <v>54</v>
      </c>
      <c r="C9" s="16"/>
      <c r="D9" s="16"/>
      <c r="E9" s="16"/>
    </row>
    <row r="10" spans="2:5" ht="33.75" customHeight="1" x14ac:dyDescent="0.35">
      <c r="B10" s="15" t="s">
        <v>56</v>
      </c>
      <c r="C10" s="29"/>
      <c r="D10" s="29"/>
      <c r="E10" s="29"/>
    </row>
    <row r="11" spans="2:5" ht="33.75" customHeight="1" x14ac:dyDescent="0.35">
      <c r="B11" s="18" t="s">
        <v>57</v>
      </c>
      <c r="C11" s="29"/>
      <c r="D11" s="29"/>
      <c r="E11" s="29"/>
    </row>
    <row r="12" spans="2:5" ht="33.75" customHeight="1" x14ac:dyDescent="0.35">
      <c r="B12" s="15" t="s">
        <v>58</v>
      </c>
      <c r="C12" s="29"/>
      <c r="D12" s="29"/>
      <c r="E12" s="29"/>
    </row>
    <row r="13" spans="2:5" ht="33.75" customHeight="1" x14ac:dyDescent="0.35">
      <c r="B13" s="18" t="s">
        <v>59</v>
      </c>
      <c r="C13" s="29"/>
      <c r="D13" s="29"/>
      <c r="E13" s="29"/>
    </row>
    <row r="14" spans="2:5" ht="33.75" customHeight="1" x14ac:dyDescent="0.35">
      <c r="B14" s="15" t="s">
        <v>60</v>
      </c>
      <c r="C14" s="29"/>
      <c r="D14" s="29"/>
      <c r="E14" s="29"/>
    </row>
    <row r="15" spans="2:5" ht="30" customHeight="1" x14ac:dyDescent="0.35">
      <c r="B15" s="30" t="s">
        <v>61</v>
      </c>
      <c r="C15" s="31">
        <f>SUM(C8:C14)</f>
        <v>257</v>
      </c>
      <c r="D15" s="31">
        <f>SUM(D8:D14)</f>
        <v>1500000</v>
      </c>
      <c r="E15" s="32" t="s">
        <v>62</v>
      </c>
    </row>
    <row r="17" spans="2:5" ht="25.5" customHeight="1" x14ac:dyDescent="0.35">
      <c r="B17" s="10" t="s">
        <v>63</v>
      </c>
      <c r="C17" s="10"/>
      <c r="D17" s="10"/>
      <c r="E17" s="10"/>
    </row>
    <row r="18" spans="2:5" ht="36" customHeight="1" x14ac:dyDescent="0.35">
      <c r="B18" s="33" t="s">
        <v>64</v>
      </c>
      <c r="C18" s="44">
        <f>C15</f>
        <v>257</v>
      </c>
      <c r="D18" s="6" t="s">
        <v>65</v>
      </c>
      <c r="E18" s="6"/>
    </row>
    <row r="19" spans="2:5" ht="36" customHeight="1" x14ac:dyDescent="0.35">
      <c r="B19" s="34" t="s">
        <v>66</v>
      </c>
      <c r="C19" s="44">
        <f>D15</f>
        <v>1500000</v>
      </c>
      <c r="D19" s="5" t="s">
        <v>67</v>
      </c>
      <c r="E19" s="5"/>
    </row>
    <row r="20" spans="2:5" ht="36" customHeight="1" x14ac:dyDescent="0.35">
      <c r="B20" s="35" t="s">
        <v>68</v>
      </c>
      <c r="C20" s="42" t="str">
        <f>IF(OR(C15&gt;=250,D15&gt;=50000000),"GRANDE EMPRESA → verificar setor para EE/EI",IF(AND(C15&gt;=50,D15&gt;=10000000),"MÉDIA EMPRESA → EI se setor abrangido","MICRO/PEQUENA → verificar exceções"))</f>
        <v>GRANDE EMPRESA → verificar setor para EE/EI</v>
      </c>
      <c r="D20" s="4" t="s">
        <v>69</v>
      </c>
      <c r="E20" s="4"/>
    </row>
  </sheetData>
  <mergeCells count="7">
    <mergeCell ref="D19:E19"/>
    <mergeCell ref="D20:E20"/>
    <mergeCell ref="B2:E2"/>
    <mergeCell ref="B3:E3"/>
    <mergeCell ref="B5:E5"/>
    <mergeCell ref="B17:E17"/>
    <mergeCell ref="D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3"/>
  <sheetViews>
    <sheetView showGridLines="0" zoomScaleNormal="100" workbookViewId="0">
      <selection activeCell="B31" sqref="B31"/>
    </sheetView>
  </sheetViews>
  <sheetFormatPr defaultColWidth="8.6328125" defaultRowHeight="14.5" x14ac:dyDescent="0.35"/>
  <cols>
    <col min="1" max="1" width="3" customWidth="1"/>
    <col min="2" max="2" width="35.1796875" customWidth="1"/>
    <col min="3" max="4" width="24" customWidth="1"/>
    <col min="5" max="5" width="3" customWidth="1"/>
  </cols>
  <sheetData>
    <row r="2" spans="2:4" ht="36" customHeight="1" x14ac:dyDescent="0.35">
      <c r="B2" s="7" t="s">
        <v>70</v>
      </c>
      <c r="C2" s="7"/>
      <c r="D2" s="7"/>
    </row>
    <row r="3" spans="2:4" ht="19.5" customHeight="1" x14ac:dyDescent="0.35">
      <c r="B3" s="12" t="s">
        <v>71</v>
      </c>
      <c r="C3" s="12"/>
      <c r="D3" s="12"/>
    </row>
    <row r="5" spans="2:4" ht="33.75" customHeight="1" x14ac:dyDescent="0.35">
      <c r="B5" s="3" t="s">
        <v>72</v>
      </c>
      <c r="C5" s="3"/>
      <c r="D5" s="3"/>
    </row>
    <row r="7" spans="2:4" ht="27.75" customHeight="1" x14ac:dyDescent="0.35">
      <c r="B7" s="28" t="s">
        <v>73</v>
      </c>
      <c r="C7" s="28" t="s">
        <v>74</v>
      </c>
      <c r="D7" s="28" t="s">
        <v>75</v>
      </c>
    </row>
    <row r="8" spans="2:4" ht="24" customHeight="1" x14ac:dyDescent="0.35">
      <c r="B8" s="2" t="s">
        <v>76</v>
      </c>
      <c r="C8" s="2"/>
      <c r="D8" s="2"/>
    </row>
    <row r="9" spans="2:4" ht="33.75" customHeight="1" x14ac:dyDescent="0.35">
      <c r="B9" s="22" t="s">
        <v>110</v>
      </c>
      <c r="C9" s="36"/>
      <c r="D9" s="19" t="s">
        <v>77</v>
      </c>
    </row>
    <row r="10" spans="2:4" ht="33.75" customHeight="1" x14ac:dyDescent="0.35">
      <c r="B10" s="22" t="s">
        <v>111</v>
      </c>
      <c r="C10" s="36"/>
      <c r="D10" s="17" t="s">
        <v>78</v>
      </c>
    </row>
    <row r="11" spans="2:4" ht="33.75" customHeight="1" x14ac:dyDescent="0.35">
      <c r="B11" s="22" t="s">
        <v>112</v>
      </c>
      <c r="C11" s="36"/>
      <c r="D11" s="19" t="s">
        <v>79</v>
      </c>
    </row>
    <row r="12" spans="2:4" ht="33.75" customHeight="1" x14ac:dyDescent="0.35">
      <c r="B12" s="22" t="s">
        <v>113</v>
      </c>
      <c r="C12" s="36"/>
      <c r="D12" s="17" t="s">
        <v>80</v>
      </c>
    </row>
    <row r="13" spans="2:4" ht="33.75" customHeight="1" x14ac:dyDescent="0.35">
      <c r="B13" s="22" t="s">
        <v>114</v>
      </c>
      <c r="C13" s="36"/>
      <c r="D13" s="19" t="s">
        <v>81</v>
      </c>
    </row>
    <row r="14" spans="2:4" ht="33.75" customHeight="1" x14ac:dyDescent="0.35">
      <c r="B14" s="22" t="s">
        <v>115</v>
      </c>
      <c r="C14" s="36"/>
      <c r="D14" s="17" t="s">
        <v>82</v>
      </c>
    </row>
    <row r="15" spans="2:4" ht="24" customHeight="1" x14ac:dyDescent="0.35">
      <c r="B15" s="2" t="s">
        <v>83</v>
      </c>
      <c r="C15" s="2"/>
      <c r="D15" s="2"/>
    </row>
    <row r="16" spans="2:4" ht="33.75" customHeight="1" x14ac:dyDescent="0.35">
      <c r="B16" s="22" t="s">
        <v>116</v>
      </c>
      <c r="C16" s="36"/>
      <c r="D16" s="17" t="s">
        <v>84</v>
      </c>
    </row>
    <row r="17" spans="2:4" ht="33.75" customHeight="1" x14ac:dyDescent="0.35">
      <c r="B17" s="22" t="s">
        <v>117</v>
      </c>
      <c r="C17" s="36"/>
      <c r="D17" s="19" t="s">
        <v>85</v>
      </c>
    </row>
    <row r="18" spans="2:4" ht="33.75" customHeight="1" x14ac:dyDescent="0.35">
      <c r="B18" s="22" t="s">
        <v>118</v>
      </c>
      <c r="C18" s="36"/>
      <c r="D18" s="17" t="s">
        <v>86</v>
      </c>
    </row>
    <row r="19" spans="2:4" ht="33.75" customHeight="1" x14ac:dyDescent="0.35">
      <c r="B19" s="22" t="s">
        <v>119</v>
      </c>
      <c r="C19" s="36"/>
      <c r="D19" s="19" t="s">
        <v>87</v>
      </c>
    </row>
    <row r="20" spans="2:4" ht="33.75" customHeight="1" x14ac:dyDescent="0.35">
      <c r="B20" s="22" t="s">
        <v>88</v>
      </c>
      <c r="C20" s="36"/>
      <c r="D20" s="17" t="s">
        <v>89</v>
      </c>
    </row>
    <row r="21" spans="2:4" ht="24" customHeight="1" x14ac:dyDescent="0.35">
      <c r="B21" s="2" t="s">
        <v>90</v>
      </c>
      <c r="C21" s="2"/>
      <c r="D21" s="2"/>
    </row>
    <row r="22" spans="2:4" ht="33.75" customHeight="1" x14ac:dyDescent="0.35">
      <c r="B22" s="22" t="s">
        <v>120</v>
      </c>
      <c r="C22" s="36"/>
      <c r="D22" s="17" t="s">
        <v>91</v>
      </c>
    </row>
    <row r="23" spans="2:4" ht="33.75" customHeight="1" x14ac:dyDescent="0.35">
      <c r="B23" s="22" t="s">
        <v>92</v>
      </c>
      <c r="C23" s="36"/>
      <c r="D23" s="19" t="s">
        <v>93</v>
      </c>
    </row>
    <row r="24" spans="2:4" ht="33.75" customHeight="1" x14ac:dyDescent="0.35">
      <c r="B24" s="22" t="s">
        <v>94</v>
      </c>
      <c r="C24" s="36"/>
      <c r="D24" s="17" t="s">
        <v>95</v>
      </c>
    </row>
    <row r="25" spans="2:4" ht="33.75" customHeight="1" x14ac:dyDescent="0.35">
      <c r="B25" s="22" t="s">
        <v>96</v>
      </c>
      <c r="C25" s="36"/>
      <c r="D25" s="19" t="s">
        <v>97</v>
      </c>
    </row>
    <row r="26" spans="2:4" ht="24" customHeight="1" x14ac:dyDescent="0.35">
      <c r="B26" s="2" t="s">
        <v>98</v>
      </c>
      <c r="C26" s="2"/>
      <c r="D26" s="2"/>
    </row>
    <row r="27" spans="2:4" ht="33.75" customHeight="1" x14ac:dyDescent="0.35">
      <c r="B27" s="22" t="s">
        <v>99</v>
      </c>
      <c r="C27" s="36"/>
      <c r="D27" s="19" t="s">
        <v>100</v>
      </c>
    </row>
    <row r="28" spans="2:4" ht="33.75" customHeight="1" x14ac:dyDescent="0.35">
      <c r="B28" s="22" t="s">
        <v>101</v>
      </c>
      <c r="C28" s="36"/>
      <c r="D28" s="17" t="s">
        <v>102</v>
      </c>
    </row>
    <row r="29" spans="2:4" ht="33.75" customHeight="1" x14ac:dyDescent="0.35">
      <c r="B29" s="22" t="s">
        <v>103</v>
      </c>
      <c r="C29" s="36"/>
      <c r="D29" s="19" t="s">
        <v>104</v>
      </c>
    </row>
    <row r="30" spans="2:4" ht="33.75" customHeight="1" x14ac:dyDescent="0.35">
      <c r="B30" s="22" t="s">
        <v>105</v>
      </c>
      <c r="C30" s="36"/>
      <c r="D30" s="17" t="s">
        <v>106</v>
      </c>
    </row>
    <row r="31" spans="2:4" ht="33.75" customHeight="1" x14ac:dyDescent="0.35">
      <c r="B31" s="22" t="s">
        <v>107</v>
      </c>
      <c r="C31" s="36"/>
      <c r="D31" s="19" t="s">
        <v>108</v>
      </c>
    </row>
    <row r="33" spans="2:4" ht="30" customHeight="1" x14ac:dyDescent="0.35">
      <c r="B33" s="1" t="s">
        <v>109</v>
      </c>
      <c r="C33" s="1"/>
      <c r="D33" s="1"/>
    </row>
  </sheetData>
  <mergeCells count="8">
    <mergeCell ref="B21:D21"/>
    <mergeCell ref="B26:D26"/>
    <mergeCell ref="B33:D33"/>
    <mergeCell ref="B2:D2"/>
    <mergeCell ref="B3:D3"/>
    <mergeCell ref="B5:D5"/>
    <mergeCell ref="B8:D8"/>
    <mergeCell ref="B15:D15"/>
  </mergeCells>
  <dataValidations count="1">
    <dataValidation type="list" allowBlank="1" sqref="C8:C40" xr:uid="{00000000-0002-0000-0200-000000000000}">
      <formula1>"SIM,NÃO,N/A"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🔢 CALCULADORA DE DIMENSÃO</vt:lpstr>
      <vt:lpstr>🏢 CONSOLIDAÇÃO DE GRUPO</vt:lpstr>
      <vt:lpstr>📝 REGISTO NO CNCS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2026-03-07T10:06:16Z</dcterms:created>
  <dcterms:modified xsi:type="dcterms:W3CDTF">2026-03-12T21:57:04Z</dcterms:modified>
  <dc:language>en-US</dc:language>
</cp:coreProperties>
</file>