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📋 INSTRUÇÕES" sheetId="1" state="visible" r:id="rId3"/>
    <sheet name="🎯 REGISTO DE RISCOS" sheetId="2" state="visible" r:id="rId4"/>
    <sheet name="🗺️ MATRIZ DE RISCO" sheetId="3" state="visible" r:id="rId5"/>
    <sheet name="📈 PAINEL DE CONTROL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<sst xmlns="http://schemas.openxmlformats.org/spreadsheetml/2006/main" count="125" uniqueCount="114">
  <si>
    <t xml:space="preserve">REGISTO DE RISCOS DE CIBERSEGURANÇA NIS2</t>
  </si>
  <si>
    <t xml:space="preserve">Art. 21.º Diretiva NIS2  ·  DL 125/2025  ·  ISO/IEC 27005:2022  ·  Revisão Anual Obrigatória</t>
  </si>
  <si>
    <t xml:space="preserve">📌  PARA QUE SERVE ESTE REGISTO?</t>
  </si>
  <si>
    <t xml:space="preserve">O Registo de Riscos é o documento central de gestão de cibersegurança da PME. O Art. 21.º NIS2 obriga as entidades a 'tomar medidas adequadas e proporcionadas para gerir os riscos'. Sem um registo formal, não é possível demonstrar ao CNCS que a empresa gere os seus riscos de forma estruturada.</t>
  </si>
  <si>
    <t xml:space="preserve">📊  SEPARADORES DISPONÍVEIS</t>
  </si>
  <si>
    <t xml:space="preserve">🎯  REGISTO DE RISCOS — Lista completa de riscos identificados com avaliação de probabilidade × impacto e plano de tratamento</t>
  </si>
  <si>
    <t xml:space="preserve">🗺️  MATRIZ DE RISCO — Mapa visual 5×5 de calor (heatmap) para priorização dos riscos</t>
  </si>
  <si>
    <t xml:space="preserve">📈  PAINEL DE CONTROLO — Dashboard de resumo para apresentação à gestão de topo</t>
  </si>
  <si>
    <t xml:space="preserve">⚠️  COMO USAR ESTE DOCUMENTO PRÉ-PREENCHIDO</t>
  </si>
  <si>
    <t xml:space="preserve">1. Os riscos com Origem = "Scan" foram identificados e pré-avaliados automaticamente a partir do scan CISPLAN — reveja-os e ajuste Probabilidade e Impacto à realidade da sua empresa</t>
  </si>
  <si>
    <t xml:space="preserve">2. Acrescente riscos que o scan não deteta (ex.: falhas de processo, fornecedores, pessoas) em linhas novas, marcando a coluna Origem como "Manual"</t>
  </si>
  <si>
    <t xml:space="preserve">3. Preencha o Responsável de cada risco e atualize o Estado à medida que as medidas de tratamento são aplicadas</t>
  </si>
  <si>
    <t xml:space="preserve">4. O Nível de Risco é calculado automaticamente (Probabilidade × Impacto) — não precisa de o preencher</t>
  </si>
  <si>
    <t xml:space="preserve">5. Reveja pelo menos 1×/ano ou após incidente significativo (obrigação NIS2) e apresente o Painel de Controlo à gestão de topo</t>
  </si>
  <si>
    <t xml:space="preserve">📏  ESCALA DE AVALIAÇÃO</t>
  </si>
  <si>
    <t xml:space="preserve">Probabilidade:  1=Muito Improvável  ·  2=Improvável  ·  3=Possível  ·  4=Provável  ·  5=Muito Provável</t>
  </si>
  <si>
    <t xml:space="preserve">Impacto:  1=Mínimo  ·  2=Baixo  ·  3=Moderado  ·  4=Alto  ·  5=Crítico</t>
  </si>
  <si>
    <t xml:space="preserve">Nível de Risco:  1-4=BAIXO (verde)  ·  5-9=MÉDIO (amarelo)  ·  10-16=ALTO (laranja)  ·  17-25=CRÍTICO (vermelho)</t>
  </si>
  <si>
    <t xml:space="preserve">📐  METODOLOGIA DO PRÉ-PREENCHIMENTO (linhas com Origem = Scan):  Probabilidade derivada da severidade da vulnerabilidade e da exposição do ativo à Internet; Impacto derivado do CVSS (arredondamento de CVSS÷2, máx. 5). Metodologia simplificada de triagem inicial, alinhada com a ISO/IEC 27005. A empresa DEVE rever e ajustar ambos os valores à sua realidade operacional — o pré-preenchimento é um ponto de partida, não uma avaliação final.</t>
  </si>
  <si>
    <t xml:space="preserve">REGISTO DE RISCOS DE CIBERSEGURANÇA</t>
  </si>
  <si>
    <t xml:space="preserve">Empresa: [Nome da Empresa]</t>
  </si>
  <si>
    <t xml:space="preserve">Última Revisão: ___/___/______   Próxima Revisão: ___/___/______   Aprovado por: _______________</t>
  </si>
  <si>
    <t xml:space="preserve">⚠️  Preencha as células AMARELAS. O Nível de Risco é calculado automaticamente. Reveja pelo menos 1×/ano. Registo exigido pelo Art. 21.º NIS2 e apresentado ao CNCS em auditoria.</t>
  </si>
  <si>
    <t xml:space="preserve">ID</t>
  </si>
  <si>
    <t xml:space="preserve">Ameaça / Risco</t>
  </si>
  <si>
    <t xml:space="preserve">Ativo(s) Afetado(s)</t>
  </si>
  <si>
    <t xml:space="preserve">Categoria</t>
  </si>
  <si>
    <t xml:space="preserve">Prob.
(1-5)</t>
  </si>
  <si>
    <t xml:space="preserve">Impacto
(1-5)</t>
  </si>
  <si>
    <t xml:space="preserve">Nível
de Risco</t>
  </si>
  <si>
    <t xml:space="preserve">Classificação</t>
  </si>
  <si>
    <t xml:space="preserve">Medida de Tratamento</t>
  </si>
  <si>
    <t xml:space="preserve">Responsável</t>
  </si>
  <si>
    <t xml:space="preserve">Estado</t>
  </si>
  <si>
    <t xml:space="preserve">Origem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</si>
  <si>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</si>
  <si>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</si>
  <si>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</si>
  <si>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</si>
  <si>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</si>
  <si>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</si>
  <si>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</si>
  <si>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</si>
  <si>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</si>
  <si>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</si>
  <si>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</si>
  <si>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</si>
  <si>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</si>
  <si>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</si>
  <si>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</si>
  <si>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</si>
  <si>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</si>
  <si>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</si>
  <si>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</si>
  <si>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</si>
  <si>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</si>
  <si>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</si>
  <si>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</si>
  <si>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</si>
  <si>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</si>
  <si>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</si>
  <si>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</si>
  <si>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</si>
  <si>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</si>
  <si>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</si>
  <si>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MATRIZ DE RISCO — MAPA DE CALOR (HEATMAP)</t>
  </si>
  <si>
    <t xml:space="preserve">Probabilidade × Impacto  ·  Cada célula mostra os riscos identificados nesse quadrante</t>
  </si>
  <si>
    <t xml:space="preserve">IMPACTO  →</t>
  </si>
  <si>
    <t xml:space="preserve">PROB.
↓</t>
  </si>
  <si>
    <t xml:space="preserve">1 - Mínimo</t>
  </si>
  <si>
    <t xml:space="preserve">2 - Baixo</t>
  </si>
  <si>
    <t xml:space="preserve">3 - Moderado</t>
  </si>
  <si>
    <t xml:space="preserve">4 - Alto</t>
  </si>
  <si>
    <t xml:space="preserve">5 - Crítico</t>
  </si>
  <si>
    <t xml:space="preserve">5 - Muito Provável</t>
  </si>
  <si>
    <t xml:space="preserve">Risco: 5</t>
  </si>
  <si>
    <t xml:space="preserve">Risco: 10</t>
  </si>
  <si>
    <t xml:space="preserve">Risco: 15</t>
  </si>
  <si>
    <t xml:space="preserve">Risco: 20</t>
  </si>
  <si>
    <t xml:space="preserve">Risco: 25</t>
  </si>
  <si>
    <t xml:space="preserve">4 - Provável</t>
  </si>
  <si>
    <t xml:space="preserve">Risco: 4</t>
  </si>
  <si>
    <t xml:space="preserve">Risco: 8</t>
  </si>
  <si>
    <t xml:space="preserve">Risco: 12</t>
  </si>
  <si>
    <t xml:space="preserve">Risco: 16</t>
  </si>
  <si>
    <t xml:space="preserve">3 - Possível</t>
  </si>
  <si>
    <t xml:space="preserve">Risco: 3</t>
  </si>
  <si>
    <t xml:space="preserve">Risco: 6</t>
  </si>
  <si>
    <t xml:space="preserve">Risco: 9</t>
  </si>
  <si>
    <t xml:space="preserve">2 - Improvável</t>
  </si>
  <si>
    <t xml:space="preserve">Risco: 2</t>
  </si>
  <si>
    <t xml:space="preserve">1 - Muito Improvável</t>
  </si>
  <si>
    <t xml:space="preserve">Risco: 1</t>
  </si>
  <si>
    <t xml:space="preserve">LEGENDA</t>
  </si>
  <si>
    <t xml:space="preserve">BAIXO (1-4)</t>
  </si>
  <si>
    <t xml:space="preserve">Monitorizar. Sem ação urgente necessária.</t>
  </si>
  <si>
    <t xml:space="preserve">MÉDIO (5-9)</t>
  </si>
  <si>
    <t xml:space="preserve">Planear medidas de mitigação no próximo ciclo.</t>
  </si>
  <si>
    <t xml:space="preserve">ALTO (10-16)</t>
  </si>
  <si>
    <t xml:space="preserve">Ação prioritária. Tratar no prazo de 90 dias.</t>
  </si>
  <si>
    <t xml:space="preserve">CRÍTICO (17-25)</t>
  </si>
  <si>
    <t xml:space="preserve">Ação imediata. Escalar para gestão de topo.</t>
  </si>
  <si>
    <t xml:space="preserve">PAINEL DE CONTROLO — RESUMO DE RISCOS PARA GESTÃO DE TOPO</t>
  </si>
  <si>
    <t xml:space="preserve">📊 RESUMO GERAL</t>
  </si>
  <si>
    <t xml:space="preserve">Total de Riscos Identificados</t>
  </si>
  <si>
    <t xml:space="preserve">Riscos CRÍTICOS (17-25)</t>
  </si>
  <si>
    <t xml:space="preserve">Riscos ALTOS (10-16)</t>
  </si>
  <si>
    <t xml:space="preserve">Riscos MÉDIOS (5-9)</t>
  </si>
  <si>
    <t xml:space="preserve">Riscos BAIXOS (1-4)</t>
  </si>
  <si>
    <t xml:space="preserve">📋 ESTADO DO TRATAMENTO</t>
  </si>
  <si>
    <t xml:space="preserve">Riscos Em Curso de Mitigação</t>
  </si>
  <si>
    <t xml:space="preserve">Riscos Concluídos / Encerrados</t>
  </si>
  <si>
    <t xml:space="preserve">Riscos Transferidos (Seguro)</t>
  </si>
  <si>
    <t xml:space="preserve">Última atualização do registo: [Data]          |   Aprovado por: [Nome do CEO/Gestor]          |   Próxima revisão: [Data]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</si>
</sst>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sz val="10"/>
      <color rgb="FF3D3D3D"/>
      <name val="Arial"/>
      <family val="2"/>
      <charset val="1"/>
    </font>
    <font>
      <b val="true"/>
      <sz val="11"/>
      <color rgb="FF7B5000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b val="true"/>
      <sz val="9"/>
      <color rgb="FF9B0000"/>
      <name val="Arial"/>
      <family val="2"/>
      <charset val="1"/>
    </font>
    <font>
      <sz val="9"/>
      <color rgb="FF7B5000"/>
      <name val="Arial"/>
      <family val="2"/>
      <charset val="1"/>
    </font>
    <font>
      <sz val="9"/>
      <color rgb="FF3D3D3D"/>
      <name val="Arial"/>
      <family val="2"/>
      <charset val="1"/>
    </font>
    <font>
      <b val="true"/>
      <sz val="10"/>
      <color rgb="FF7B5000"/>
      <name val="Arial"/>
      <family val="2"/>
      <charset val="1"/>
    </font>
    <font>
      <b val="true"/>
      <sz val="10"/>
      <color rgb="FF3D3D3D"/>
      <name val="Arial"/>
      <family val="2"/>
      <charset val="1"/>
    </font>
    <font>
      <b val="true"/>
      <sz val="9"/>
      <color rgb="FF3D3D3D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1A5C38"/>
      <name val="Arial"/>
      <family val="2"/>
      <charset val="1"/>
    </font>
    <font>
      <b val="true"/>
      <sz val="9"/>
      <color rgb="FF7B5000"/>
      <name val="Arial"/>
      <family val="2"/>
      <charset val="1"/>
    </font>
    <font>
      <b val="true"/>
      <sz val="9"/>
      <color rgb="FFC55A1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4"/>
      <color rgb="FF3D3D3D"/>
      <name val="Arial"/>
      <family val="2"/>
      <charset val="1"/>
    </font>
    <font>
      <b val="true"/>
      <sz val="14"/>
      <color rgb="FF9B0000"/>
      <name val="Arial"/>
      <family val="2"/>
      <charset val="1"/>
    </font>
    <font>
      <b val="true"/>
      <sz val="14"/>
      <color rgb="FFC55A11"/>
      <name val="Arial"/>
      <family val="2"/>
      <charset val="1"/>
    </font>
    <font>
      <b val="true"/>
      <sz val="14"/>
      <color rgb="FF7B5000"/>
      <name val="Arial"/>
      <family val="2"/>
      <charset val="1"/>
    </font>
    <font>
      <b val="true"/>
      <sz val="14"/>
      <color rgb="FF1A5C38"/>
      <name val="Arial"/>
      <family val="2"/>
      <charset val="1"/>
    </font>
    <font>
      <b val="true"/>
      <sz val="14"/>
      <color rgb="FF2E75B6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F4F4F4"/>
        <bgColor rgb="FFEBF3FB"/>
      </patternFill>
    </fill>
    <fill>
      <patternFill patternType="solid">
        <fgColor rgb="FFE2F0EA"/>
        <bgColor rgb="FFEBF3FB"/>
      </patternFill>
    </fill>
    <fill>
      <patternFill patternType="solid">
        <fgColor rgb="FFFCE4D6"/>
        <bgColor rgb="FFFDECEA"/>
      </patternFill>
    </fill>
    <fill>
      <patternFill patternType="solid">
        <fgColor rgb="FF63BE7B"/>
        <bgColor rgb="FF339966"/>
      </patternFill>
    </fill>
    <fill>
      <patternFill patternType="solid">
        <fgColor rgb="FFFFEB84"/>
        <bgColor rgb="FFFFF3CD"/>
      </patternFill>
    </fill>
    <fill>
      <patternFill patternType="solid">
        <fgColor rgb="FFF8A15A"/>
        <bgColor rgb="FFFF99CC"/>
      </patternFill>
    </fill>
    <fill>
      <patternFill patternType="solid">
        <fgColor rgb="FFF8696B"/>
        <bgColor rgb="FFC55A11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07A00"/>
      </left>
      <right/>
      <top style="thin">
        <color rgb="FFC07A00"/>
      </top>
      <bottom style="thin">
        <color rgb="FFC07A00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 diagonalUp="false" diagonalDown="false">
      <left style="thin">
        <color rgb="FF9B0000"/>
      </left>
      <right style="thin">
        <color rgb="FF9B0000"/>
      </right>
      <top style="thin">
        <color rgb="FF9B0000"/>
      </top>
      <bottom style="thin">
        <color rgb="FF9B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B0000"/>
        <sz val="10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C55A11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7B5000"/>
        <sz val="10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1A5C38"/>
        <sz val="10"/>
      </font>
      <fill>
        <patternFill>
          <bgColor rgb="FFE2F0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808080"/>
      <rgbColor rgb="FF9999FF"/>
      <rgbColor rgb="FF993366"/>
      <rgbColor rgb="FFFFF3CD"/>
      <rgbColor rgb="FFE2F0EA"/>
      <rgbColor rgb="FF660066"/>
      <rgbColor rgb="FFF8696B"/>
      <rgbColor rgb="FF0066CC"/>
      <rgbColor rgb="FFFDEC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FEB84"/>
      <rgbColor rgb="FF99CCFF"/>
      <rgbColor rgb="FFFF99CC"/>
      <rgbColor rgb="FFCC99FF"/>
      <rgbColor rgb="FFFCE4D6"/>
      <rgbColor rgb="FF2E75B6"/>
      <rgbColor rgb="FF63BE7B"/>
      <rgbColor rgb="FF99CC00"/>
      <rgbColor rgb="FFFFCC00"/>
      <rgbColor rgb="FFF8A15A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3" min="3" style="1" width="45"/>
  </cols>
  <sheetData>
    <row r="2" customFormat="false" ht="39.75" hidden="false" customHeight="true" outlineLevel="0" collapsed="false">
      <c r="B2" s="2" t="s">
        <v>0</v>
      </c>
      <c r="C2" s="2"/>
    </row>
    <row r="3" customFormat="false" ht="19.5" hidden="false" customHeight="true" outlineLevel="0" collapsed="false">
      <c r="B3" s="3" t="s">
        <v>1</v>
      </c>
      <c r="C3" s="3"/>
    </row>
    <row r="5" customFormat="false" ht="24" hidden="false" customHeight="true" outlineLevel="0" collapsed="false">
      <c r="B5" s="4" t="s">
        <v>2</v>
      </c>
      <c r="C5" s="4"/>
    </row>
    <row r="6" customFormat="false" ht="55.5" hidden="false" customHeight="true" outlineLevel="0" collapsed="false">
      <c r="B6" s="5" t="s">
        <v>3</v>
      </c>
      <c r="C6" s="5"/>
    </row>
    <row r="8" customFormat="false" ht="24" hidden="false" customHeight="true" outlineLevel="0" collapsed="false">
      <c r="B8" s="4" t="s">
        <v>4</v>
      </c>
      <c r="C8" s="4"/>
    </row>
    <row r="9" customFormat="false" ht="27.75" hidden="false" customHeight="true" outlineLevel="0" collapsed="false">
      <c r="B9" s="5" t="s">
        <v>5</v>
      </c>
      <c r="C9" s="5"/>
    </row>
    <row r="10" customFormat="false" ht="27.75" hidden="false" customHeight="true" outlineLevel="0" collapsed="false">
      <c r="B10" s="5" t="s">
        <v>6</v>
      </c>
      <c r="C10" s="5"/>
    </row>
    <row r="11" customFormat="false" ht="27.75" hidden="false" customHeight="true" outlineLevel="0" collapsed="false">
      <c r="B11" s="5" t="s">
        <v>7</v>
      </c>
      <c r="C11" s="5"/>
    </row>
    <row r="13" customFormat="false" ht="24" hidden="false" customHeight="true" outlineLevel="0" collapsed="false">
      <c r="B13" s="6" t="s">
        <v>8</v>
      </c>
      <c r="C13" s="6"/>
    </row>
    <row r="14" customFormat="false" ht="24" hidden="false" customHeight="true" outlineLevel="0" collapsed="false">
      <c r="B14" s="5" t="s">
        <v>9</v>
      </c>
      <c r="C14" s="5"/>
    </row>
    <row r="15" customFormat="false" ht="24" hidden="false" customHeight="true" outlineLevel="0" collapsed="false">
      <c r="B15" s="5" t="s">
        <v>10</v>
      </c>
      <c r="C15" s="5"/>
    </row>
    <row r="16" customFormat="false" ht="24" hidden="false" customHeight="true" outlineLevel="0" collapsed="false">
      <c r="B16" s="5" t="s">
        <v>11</v>
      </c>
      <c r="C16" s="5"/>
    </row>
    <row r="17" customFormat="false" ht="24" hidden="false" customHeight="true" outlineLevel="0" collapsed="false">
      <c r="B17" s="5" t="s">
        <v>12</v>
      </c>
      <c r="C17" s="5"/>
    </row>
    <row r="18" customFormat="false" ht="24" hidden="false" customHeight="true" outlineLevel="0" collapsed="false">
      <c r="B18" s="5" t="s">
        <v>13</v>
      </c>
      <c r="C18" s="5"/>
    </row>
    <row r="20" customFormat="false" ht="24" hidden="false" customHeight="true" outlineLevel="0" collapsed="false">
      <c r="B20" s="6" t="s">
        <v>14</v>
      </c>
      <c r="C20" s="6"/>
    </row>
    <row r="21" customFormat="false" ht="24" hidden="false" customHeight="true" outlineLevel="0" collapsed="false">
      <c r="B21" s="5" t="s">
        <v>15</v>
      </c>
      <c r="C21" s="5"/>
    </row>
    <row r="22" customFormat="false" ht="24" hidden="false" customHeight="true" outlineLevel="0" collapsed="false">
      <c r="B22" s="5" t="s">
        <v>16</v>
      </c>
      <c r="C22" s="5"/>
    </row>
    <row r="23" customFormat="false" ht="24" hidden="false" customHeight="true" outlineLevel="0" collapsed="false">
      <c r="B23" s="5" t="s">
        <v>17</v>
      </c>
      <c r="C23" s="5"/>
    </row>
    <row r="24" customFormat="false" ht="60" hidden="false" customHeight="true" outlineLevel="0" collapsed="false">
      <c r="B24" s="7" t="s">
        <v>18</v>
      </c>
      <c r="C24" s="7"/>
    </row>
  </sheetData>
  <mergeCells count="19">
    <mergeCell ref="B2:C2"/>
    <mergeCell ref="B3:C3"/>
    <mergeCell ref="B5:C5"/>
    <mergeCell ref="B6:C6"/>
    <mergeCell ref="B8:C8"/>
    <mergeCell ref="B9:C9"/>
    <mergeCell ref="B10:C10"/>
    <mergeCell ref="B11:C11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10" activePane="bottomLeft" state="frozen"/>
      <selection pane="topLeft" activeCell="A1" activeCellId="0" sqref="A1"/>
      <selection pane="bottomLeft" activeCell="J10" activeCellId="0" sqref="J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8" min="6" style="1" width="12"/>
    <col collapsed="false" customWidth="true" hidden="false" outlineLevel="0" max="9" min="9" style="1" width="14"/>
    <col collapsed="false" customWidth="true" hidden="false" outlineLevel="0" max="10" min="10" style="1" width="28"/>
    <col collapsed="false" customWidth="true" hidden="false" outlineLevel="0" max="11" min="11" style="1" width="22"/>
    <col collapsed="false" customWidth="true" hidden="false" outlineLevel="0" max="12" min="12" style="1" width="16"/>
    <col collapsed="false" customWidth="true" hidden="false" outlineLevel="0" max="13" min="13" style="1" width="14"/>
  </cols>
  <sheetData>
    <row r="2" customFormat="false" ht="33.75" hidden="false" customHeight="true" outlineLevel="0" collapsed="false">
      <c r="B2" s="8" t="s">
        <v>19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21.75" hidden="false" customHeight="true" outlineLevel="0" collapsed="false">
      <c r="B3" s="9" t="s">
        <v>20</v>
      </c>
      <c r="C3" s="9"/>
      <c r="D3" s="9"/>
      <c r="E3" s="9"/>
      <c r="F3" s="9"/>
      <c r="G3" s="10" t="s">
        <v>21</v>
      </c>
      <c r="H3" s="10"/>
      <c r="I3" s="10"/>
      <c r="J3" s="10"/>
      <c r="K3" s="10"/>
      <c r="L3" s="10"/>
    </row>
    <row r="5" customFormat="false" ht="30" hidden="false" customHeight="true" outlineLevel="0" collapsed="false">
      <c r="B5" s="11" t="s">
        <v>22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7" customFormat="false" ht="39.75" hidden="false" customHeight="true" outlineLevel="0" collapsed="false">
      <c r="B7" s="12" t="s">
        <v>23</v>
      </c>
      <c r="C7" s="12" t="s">
        <v>24</v>
      </c>
      <c r="D7" s="12" t="s">
        <v>25</v>
      </c>
      <c r="E7" s="12" t="s">
        <v>26</v>
      </c>
      <c r="F7" s="12" t="s">
        <v>27</v>
      </c>
      <c r="G7" s="12" t="s">
        <v>28</v>
      </c>
      <c r="H7" s="12" t="s">
        <v>29</v>
      </c>
      <c r="I7" s="12" t="s">
        <v>30</v>
      </c>
      <c r="J7" s="12" t="s">
        <v>31</v>
      </c>
      <c r="K7" s="12" t="s">
        <v>32</v>
      </c>
      <c r="L7" s="12" t="s">
        <v>33</v>
      </c>
      <c r="M7" s="12" t="s">
        <v>34</v>
      </c>
    </row>
    <row r="8" customFormat="false" ht="42" hidden="false" customHeight="true" outlineLevel="0" collapsed="false">
      <c r="B8" s="13" t="s">
        <v>35</v>
      </c>
      <c r="C8" s="14"/>
      <c r="D8" s="14"/>
      <c r="E8" s="15"/>
      <c r="F8" s="16"/>
      <c r="G8" s="16"/>
      <c r="H8" s="17" t="n">
        <f aca="false">F8*G8</f>
        <v>0</v>
      </c>
      <c r="I8" s="18" t="str">
        <f aca="false">IF(H8&gt;=17,"CRÍTICO",IF(H8&gt;=10,"ALTO",IF(H8&gt;=5,"MÉDIO",IF(H8&gt;0,"BAIXO",""))))</f>
        <v/>
      </c>
      <c r="J8" s="14"/>
      <c r="K8" s="14"/>
      <c r="L8" s="15"/>
      <c r="M8" s="15"/>
    </row>
    <row r="9" customFormat="false" ht="42" hidden="false" customHeight="true" outlineLevel="0" collapsed="false">
      <c r="B9" s="13" t="s">
        <v>36</v>
      </c>
      <c r="C9" s="19"/>
      <c r="D9" s="19"/>
      <c r="E9" s="15"/>
      <c r="F9" s="16"/>
      <c r="G9" s="16"/>
      <c r="H9" s="20" t="n">
        <f aca="false">F9*G9</f>
        <v>0</v>
      </c>
      <c r="I9" s="21" t="str">
        <f aca="false">IF(H9&gt;=17,"CRÍTICO",IF(H9&gt;=10,"ALTO",IF(H9&gt;=5,"MÉDIO",IF(H9&gt;0,"BAIXO",""))))</f>
        <v/>
      </c>
      <c r="J9" s="19"/>
      <c r="K9" s="19"/>
      <c r="L9" s="15"/>
      <c r="M9" s="15"/>
    </row>
    <row r="10" customFormat="false" ht="42" hidden="false" customHeight="true" outlineLevel="0" collapsed="false">
      <c r="B10" s="13" t="s">
        <v>37</v>
      </c>
      <c r="C10" s="14"/>
      <c r="D10" s="14"/>
      <c r="E10" s="15"/>
      <c r="F10" s="16"/>
      <c r="G10" s="16"/>
      <c r="H10" s="17" t="n">
        <f aca="false">F10*G10</f>
        <v>0</v>
      </c>
      <c r="I10" s="18" t="str">
        <f aca="false">IF(H10&gt;=17,"CRÍTICO",IF(H10&gt;=10,"ALTO",IF(H10&gt;=5,"MÉDIO",IF(H10&gt;0,"BAIXO",""))))</f>
        <v/>
      </c>
      <c r="J10" s="14"/>
      <c r="K10" s="14"/>
      <c r="L10" s="15"/>
      <c r="M10" s="15"/>
    </row>
    <row r="11" customFormat="false" ht="42" hidden="false" customHeight="true" outlineLevel="0" collapsed="false">
      <c r="B11" s="13" t="s">
        <v>38</v>
      </c>
      <c r="C11" s="19"/>
      <c r="D11" s="19"/>
      <c r="E11" s="15"/>
      <c r="F11" s="16"/>
      <c r="G11" s="16"/>
      <c r="H11" s="20" t="n">
        <f aca="false">F11*G11</f>
        <v>0</v>
      </c>
      <c r="I11" s="21" t="str">
        <f aca="false">IF(H11&gt;=17,"CRÍTICO",IF(H11&gt;=10,"ALTO",IF(H11&gt;=5,"MÉDIO",IF(H11&gt;0,"BAIXO",""))))</f>
        <v/>
      </c>
      <c r="J11" s="19"/>
      <c r="K11" s="19"/>
      <c r="L11" s="15"/>
      <c r="M11" s="15"/>
    </row>
    <row r="12" customFormat="false" ht="42" hidden="false" customHeight="true" outlineLevel="0" collapsed="false">
      <c r="B12" s="13" t="s">
        <v>39</v>
      </c>
      <c r="C12" s="14"/>
      <c r="D12" s="14"/>
      <c r="E12" s="15"/>
      <c r="F12" s="16"/>
      <c r="G12" s="16"/>
      <c r="H12" s="20" t="n">
        <f aca="false">F12*G12</f>
        <v>0</v>
      </c>
      <c r="I12" s="18" t="str">
        <f aca="false">IF(H12&gt;=17,"CRÍTICO",IF(H12&gt;=10,"ALTO",IF(H12&gt;=5,"MÉDIO",IF(H12&gt;0,"BAIXO",""))))</f>
        <v/>
      </c>
      <c r="J12" s="14"/>
      <c r="K12" s="14"/>
      <c r="L12" s="15"/>
      <c r="M12" s="15"/>
    </row>
    <row r="13" customFormat="false" ht="42" hidden="false" customHeight="true" outlineLevel="0" collapsed="false">
      <c r="B13" s="13" t="s">
        <v>40</v>
      </c>
      <c r="C13" s="19"/>
      <c r="D13" s="19"/>
      <c r="E13" s="15"/>
      <c r="F13" s="16"/>
      <c r="G13" s="16"/>
      <c r="H13" s="20" t="n">
        <f aca="false">F13*G13</f>
        <v>0</v>
      </c>
      <c r="I13" s="21" t="str">
        <f aca="false">IF(H13&gt;=17,"CRÍTICO",IF(H13&gt;=10,"ALTO",IF(H13&gt;=5,"MÉDIO",IF(H13&gt;0,"BAIXO",""))))</f>
        <v/>
      </c>
      <c r="J13" s="19"/>
      <c r="K13" s="19"/>
      <c r="L13" s="15"/>
      <c r="M13" s="15"/>
    </row>
    <row r="14" customFormat="false" ht="42" hidden="false" customHeight="true" outlineLevel="0" collapsed="false">
      <c r="B14" s="13" t="s">
        <v>41</v>
      </c>
      <c r="C14" s="14"/>
      <c r="D14" s="14"/>
      <c r="E14" s="15"/>
      <c r="F14" s="16"/>
      <c r="G14" s="16"/>
      <c r="H14" s="17" t="n">
        <f aca="false">F14*G14</f>
        <v>0</v>
      </c>
      <c r="I14" s="18" t="str">
        <f aca="false">IF(H14&gt;=17,"CRÍTICO",IF(H14&gt;=10,"ALTO",IF(H14&gt;=5,"MÉDIO",IF(H14&gt;0,"BAIXO",""))))</f>
        <v/>
      </c>
      <c r="J14" s="14"/>
      <c r="K14" s="14"/>
      <c r="L14" s="15"/>
      <c r="M14" s="15"/>
    </row>
    <row r="15" customFormat="false" ht="42" hidden="false" customHeight="true" outlineLevel="0" collapsed="false">
      <c r="B15" s="13" t="s">
        <v>42</v>
      </c>
      <c r="C15" s="19"/>
      <c r="D15" s="19"/>
      <c r="E15" s="15"/>
      <c r="F15" s="16"/>
      <c r="G15" s="16"/>
      <c r="H15" s="20" t="n">
        <f aca="false">F15*G15</f>
        <v>0</v>
      </c>
      <c r="I15" s="21" t="str">
        <f aca="false">IF(H15&gt;=17,"CRÍTICO",IF(H15&gt;=10,"ALTO",IF(H15&gt;=5,"MÉDIO",IF(H15&gt;0,"BAIXO",""))))</f>
        <v/>
      </c>
      <c r="J15" s="19"/>
      <c r="K15" s="19"/>
      <c r="L15" s="15"/>
      <c r="M15" s="15"/>
    </row>
    <row r="16" customFormat="false" ht="42" hidden="false" customHeight="true" outlineLevel="0" collapsed="false">
      <c r="B16" s="13" t="s">
        <v>43</v>
      </c>
      <c r="C16" s="14"/>
      <c r="D16" s="14"/>
      <c r="E16" s="15"/>
      <c r="F16" s="16"/>
      <c r="G16" s="16"/>
      <c r="H16" s="17" t="n">
        <f aca="false">F16*G16</f>
        <v>0</v>
      </c>
      <c r="I16" s="18" t="str">
        <f aca="false">IF(H16&gt;=17,"CRÍTICO",IF(H16&gt;=10,"ALTO",IF(H16&gt;=5,"MÉDIO",IF(H16&gt;0,"BAIXO",""))))</f>
        <v/>
      </c>
      <c r="J16" s="14"/>
      <c r="K16" s="14"/>
      <c r="L16" s="15"/>
      <c r="M16" s="15"/>
    </row>
    <row r="17" customFormat="false" ht="42" hidden="false" customHeight="true" outlineLevel="0" collapsed="false">
      <c r="B17" s="13" t="s">
        <v>44</v>
      </c>
      <c r="C17" s="19"/>
      <c r="D17" s="19"/>
      <c r="E17" s="15"/>
      <c r="F17" s="16"/>
      <c r="G17" s="16"/>
      <c r="H17" s="20" t="n">
        <f aca="false">F17*G17</f>
        <v>0</v>
      </c>
      <c r="I17" s="21" t="str">
        <f aca="false">IF(H17&gt;=17,"CRÍTICO",IF(H17&gt;=10,"ALTO",IF(H17&gt;=5,"MÉDIO",IF(H17&gt;0,"BAIXO",""))))</f>
        <v/>
      </c>
      <c r="J17" s="19"/>
      <c r="K17" s="19"/>
      <c r="L17" s="15"/>
      <c r="M17" s="15"/>
    </row>
    <row r="18" customFormat="false" ht="36" hidden="false" customHeight="true" outlineLevel="0" collapsed="false">
      <c r="B18" s="13" t="s">
        <v>45</v>
      </c>
      <c r="C18" s="22"/>
      <c r="D18" s="22"/>
      <c r="E18" s="23"/>
      <c r="F18" s="24"/>
      <c r="G18" s="24"/>
      <c r="H18" s="25" t="n">
        <f aca="false">F18*G18</f>
        <v>0</v>
      </c>
      <c r="I18" s="26" t="str">
        <f aca="false">IF(H18&gt;=17,"CRÍTICO",IF(H18&gt;=10,"ALTO",IF(H18&gt;=5,"MÉDIO",IF(H18&gt;0,"BAIXO",""))))</f>
        <v/>
      </c>
      <c r="J18" s="22"/>
      <c r="K18" s="22"/>
      <c r="L18" s="23"/>
      <c r="M18" s="23"/>
    </row>
    <row r="19" customFormat="false" ht="36" hidden="false" customHeight="true" outlineLevel="0" collapsed="false">
      <c r="B19" s="13" t="s">
        <v>46</v>
      </c>
      <c r="C19" s="27"/>
      <c r="D19" s="27"/>
      <c r="E19" s="23"/>
      <c r="F19" s="24"/>
      <c r="G19" s="24"/>
      <c r="H19" s="28" t="n">
        <f aca="false">F19*G19</f>
        <v>0</v>
      </c>
      <c r="I19" s="29" t="str">
        <f aca="false">IF(H19&gt;=17,"CRÍTICO",IF(H19&gt;=10,"ALTO",IF(H19&gt;=5,"MÉDIO",IF(H19&gt;0,"BAIXO",""))))</f>
        <v/>
      </c>
      <c r="J19" s="27"/>
      <c r="K19" s="27"/>
      <c r="L19" s="23"/>
      <c r="M19" s="23"/>
    </row>
    <row r="20" customFormat="false" ht="36" hidden="false" customHeight="true" outlineLevel="0" collapsed="false">
      <c r="B20" s="13" t="s">
        <v>47</v>
      </c>
      <c r="C20" s="22"/>
      <c r="D20" s="22"/>
      <c r="E20" s="23"/>
      <c r="F20" s="24"/>
      <c r="G20" s="24"/>
      <c r="H20" s="25" t="n">
        <f aca="false">F20*G20</f>
        <v>0</v>
      </c>
      <c r="I20" s="26" t="str">
        <f aca="false">IF(H20&gt;=17,"CRÍTICO",IF(H20&gt;=10,"ALTO",IF(H20&gt;=5,"MÉDIO",IF(H20&gt;0,"BAIXO",""))))</f>
        <v/>
      </c>
      <c r="J20" s="22"/>
      <c r="K20" s="22"/>
      <c r="L20" s="23"/>
      <c r="M20" s="23"/>
    </row>
    <row r="21" customFormat="false" ht="36" hidden="false" customHeight="true" outlineLevel="0" collapsed="false">
      <c r="B21" s="13" t="s">
        <v>48</v>
      </c>
      <c r="C21" s="27"/>
      <c r="D21" s="27"/>
      <c r="E21" s="23"/>
      <c r="F21" s="24"/>
      <c r="G21" s="24"/>
      <c r="H21" s="28" t="n">
        <f aca="false">F21*G21</f>
        <v>0</v>
      </c>
      <c r="I21" s="29" t="str">
        <f aca="false">IF(H21&gt;=17,"CRÍTICO",IF(H21&gt;=10,"ALTO",IF(H21&gt;=5,"MÉDIO",IF(H21&gt;0,"BAIXO",""))))</f>
        <v/>
      </c>
      <c r="J21" s="27"/>
      <c r="K21" s="27"/>
      <c r="L21" s="23"/>
      <c r="M21" s="23"/>
    </row>
    <row r="22" customFormat="false" ht="36" hidden="false" customHeight="true" outlineLevel="0" collapsed="false">
      <c r="B22" s="13" t="s">
        <v>49</v>
      </c>
      <c r="C22" s="22"/>
      <c r="D22" s="22"/>
      <c r="E22" s="23"/>
      <c r="F22" s="24"/>
      <c r="G22" s="24"/>
      <c r="H22" s="25" t="n">
        <f aca="false">F22*G22</f>
        <v>0</v>
      </c>
      <c r="I22" s="26" t="str">
        <f aca="false">IF(H22&gt;=17,"CRÍTICO",IF(H22&gt;=10,"ALTO",IF(H22&gt;=5,"MÉDIO",IF(H22&gt;0,"BAIXO",""))))</f>
        <v/>
      </c>
      <c r="J22" s="22"/>
      <c r="K22" s="22"/>
      <c r="L22" s="23"/>
      <c r="M22" s="23"/>
    </row>
    <row r="23" customFormat="false" ht="36" hidden="false" customHeight="true" outlineLevel="0" collapsed="false">
      <c r="B23" s="13" t="s">
        <v>50</v>
      </c>
      <c r="C23" s="27"/>
      <c r="D23" s="27"/>
      <c r="E23" s="23"/>
      <c r="F23" s="24"/>
      <c r="G23" s="24"/>
      <c r="H23" s="28" t="n">
        <f aca="false">F23*G23</f>
        <v>0</v>
      </c>
      <c r="I23" s="29" t="str">
        <f aca="false">IF(H23&gt;=17,"CRÍTICO",IF(H23&gt;=10,"ALTO",IF(H23&gt;=5,"MÉDIO",IF(H23&gt;0,"BAIXO",""))))</f>
        <v/>
      </c>
      <c r="J23" s="27"/>
      <c r="K23" s="27"/>
      <c r="L23" s="23"/>
      <c r="M23" s="23"/>
    </row>
    <row r="24" customFormat="false" ht="36" hidden="false" customHeight="true" outlineLevel="0" collapsed="false">
      <c r="B24" s="13" t="s">
        <v>51</v>
      </c>
      <c r="C24" s="22"/>
      <c r="D24" s="22"/>
      <c r="E24" s="23"/>
      <c r="F24" s="24"/>
      <c r="G24" s="24"/>
      <c r="H24" s="25" t="n">
        <f aca="false">F24*G24</f>
        <v>0</v>
      </c>
      <c r="I24" s="26" t="str">
        <f aca="false">IF(H24&gt;=17,"CRÍTICO",IF(H24&gt;=10,"ALTO",IF(H24&gt;=5,"MÉDIO",IF(H24&gt;0,"BAIXO",""))))</f>
        <v/>
      </c>
      <c r="J24" s="22"/>
      <c r="K24" s="22"/>
      <c r="L24" s="23"/>
      <c r="M24" s="23"/>
    </row>
    <row r="25" customFormat="false" ht="36" hidden="false" customHeight="true" outlineLevel="0" collapsed="false">
      <c r="B25" s="13" t="s">
        <v>52</v>
      </c>
      <c r="C25" s="27"/>
      <c r="D25" s="27"/>
      <c r="E25" s="23"/>
      <c r="F25" s="24"/>
      <c r="G25" s="24"/>
      <c r="H25" s="28" t="n">
        <f aca="false">F25*G25</f>
        <v>0</v>
      </c>
      <c r="I25" s="29" t="str">
        <f aca="false">IF(H25&gt;=17,"CRÍTICO",IF(H25&gt;=10,"ALTO",IF(H25&gt;=5,"MÉDIO",IF(H25&gt;0,"BAIXO",""))))</f>
        <v/>
      </c>
      <c r="J25" s="27"/>
      <c r="K25" s="27"/>
      <c r="L25" s="23"/>
      <c r="M25" s="23"/>
    </row>
    <row r="26" customFormat="false" ht="36" hidden="false" customHeight="true" outlineLevel="0" collapsed="false">
      <c r="B26" s="13" t="s">
        <v>53</v>
      </c>
      <c r="C26" s="22"/>
      <c r="D26" s="22"/>
      <c r="E26" s="23"/>
      <c r="F26" s="24"/>
      <c r="G26" s="24"/>
      <c r="H26" s="25" t="n">
        <f aca="false">F26*G26</f>
        <v>0</v>
      </c>
      <c r="I26" s="26" t="str">
        <f aca="false">IF(H26&gt;=17,"CRÍTICO",IF(H26&gt;=10,"ALTO",IF(H26&gt;=5,"MÉDIO",IF(H26&gt;0,"BAIXO",""))))</f>
        <v/>
      </c>
      <c r="J26" s="22"/>
      <c r="K26" s="22"/>
      <c r="L26" s="23"/>
      <c r="M26" s="23"/>
    </row>
    <row r="27" customFormat="false" ht="36" hidden="false" customHeight="true" outlineLevel="0" collapsed="false">
      <c r="B27" s="13" t="s">
        <v>54</v>
      </c>
      <c r="C27" s="27"/>
      <c r="D27" s="27"/>
      <c r="E27" s="23"/>
      <c r="F27" s="24"/>
      <c r="G27" s="24"/>
      <c r="H27" s="28" t="n">
        <f aca="false">F27*G27</f>
        <v>0</v>
      </c>
      <c r="I27" s="29" t="str">
        <f aca="false">IF(H27&gt;=17,"CRÍTICO",IF(H27&gt;=10,"ALTO",IF(H27&gt;=5,"MÉDIO",IF(H27&gt;0,"BAIXO",""))))</f>
        <v/>
      </c>
      <c r="J27" s="27"/>
      <c r="K27" s="27"/>
      <c r="L27" s="23"/>
      <c r="M27" s="23"/>
    </row>
    <row r="28" customFormat="false" ht="36" hidden="false" customHeight="true" outlineLevel="0" collapsed="false">
      <c r="B28" s="13" t="s">
        <v>55</v>
      </c>
      <c r="C28" s="27"/>
      <c r="D28" s="27"/>
      <c r="E28" s="23"/>
      <c r="F28" s="24"/>
      <c r="G28" s="24"/>
      <c r="H28" s="28" t="n">
        <f aca="false">F28*G28</f>
        <v>0</v>
      </c>
      <c r="I28" s="29" t="str">
        <f aca="false">IF(H28&gt;=17,"CRÍTICO",IF(H28&gt;=10,"ALTO",IF(H28&gt;=5,"MÉDIO",IF(H28&gt;0,"BAIXO",""))))</f>
        <v/>
      </c>
      <c r="J28" s="27"/>
      <c r="K28" s="27"/>
      <c r="L28" s="23"/>
      <c r="M28" s="23"/>
    </row>
    <row r="29" customFormat="false" ht="36" hidden="false" customHeight="true" outlineLevel="0" collapsed="false">
      <c r="B29" s="13" t="s">
        <v>56</v>
      </c>
      <c r="C29" s="27"/>
      <c r="D29" s="27"/>
      <c r="E29" s="23"/>
      <c r="F29" s="24"/>
      <c r="G29" s="24"/>
      <c r="H29" s="28" t="n">
        <f aca="false">F29*G29</f>
        <v>0</v>
      </c>
      <c r="I29" s="29" t="str">
        <f aca="false">IF(H29&gt;=17,"CRÍTICO",IF(H29&gt;=10,"ALTO",IF(H29&gt;=5,"MÉDIO",IF(H29&gt;0,"BAIXO",""))))</f>
        <v/>
      </c>
      <c r="J29" s="27"/>
      <c r="K29" s="27"/>
      <c r="L29" s="23"/>
      <c r="M29" s="23"/>
    </row>
    <row r="30" customFormat="false" ht="36" hidden="false" customHeight="true" outlineLevel="0" collapsed="false">
      <c r="B30" s="13" t="s">
        <v>57</v>
      </c>
      <c r="C30" s="27"/>
      <c r="D30" s="27"/>
      <c r="E30" s="23"/>
      <c r="F30" s="24"/>
      <c r="G30" s="24"/>
      <c r="H30" s="28" t="n">
        <f aca="false">F30*G30</f>
        <v>0</v>
      </c>
      <c r="I30" s="29" t="str">
        <f aca="false">IF(H30&gt;=17,"CRÍTICO",IF(H30&gt;=10,"ALTO",IF(H30&gt;=5,"MÉDIO",IF(H30&gt;0,"BAIXO",""))))</f>
        <v/>
      </c>
      <c r="J30" s="27"/>
      <c r="K30" s="27"/>
      <c r="L30" s="23"/>
      <c r="M30" s="23"/>
    </row>
    <row r="31" customFormat="false" ht="36" hidden="false" customHeight="true" outlineLevel="0" collapsed="false">
      <c r="B31" s="13" t="s">
        <v>58</v>
      </c>
      <c r="C31" s="27"/>
      <c r="D31" s="27"/>
      <c r="E31" s="23"/>
      <c r="F31" s="24"/>
      <c r="G31" s="24"/>
      <c r="H31" s="28" t="n">
        <f aca="false">F31*G31</f>
        <v>0</v>
      </c>
      <c r="I31" s="29" t="str">
        <f aca="false">IF(H31&gt;=17,"CRÍTICO",IF(H31&gt;=10,"ALTO",IF(H31&gt;=5,"MÉDIO",IF(H31&gt;0,"BAIXO",""))))</f>
        <v/>
      </c>
      <c r="J31" s="27"/>
      <c r="K31" s="27"/>
      <c r="L31" s="23"/>
      <c r="M31" s="23"/>
    </row>
    <row r="32" customFormat="false" ht="36" hidden="false" customHeight="true" outlineLevel="0" collapsed="false">
      <c r="B32" s="13" t="s">
        <v>59</v>
      </c>
      <c r="C32" s="27"/>
      <c r="D32" s="27"/>
      <c r="E32" s="23"/>
      <c r="F32" s="24"/>
      <c r="G32" s="24"/>
      <c r="H32" s="28" t="n">
        <f aca="false">F32*G32</f>
        <v>0</v>
      </c>
      <c r="I32" s="29" t="str">
        <f aca="false">IF(H32&gt;=17,"CRÍTICO",IF(H32&gt;=10,"ALTO",IF(H32&gt;=5,"MÉDIO",IF(H32&gt;0,"BAIXO",""))))</f>
        <v/>
      </c>
      <c r="J32" s="27"/>
      <c r="K32" s="27"/>
      <c r="L32" s="23"/>
      <c r="M32" s="23"/>
    </row>
    <row r="33" customFormat="false" ht="36" hidden="false" customHeight="true" outlineLevel="0" collapsed="false">
      <c r="B33" s="13" t="s">
        <v>60</v>
      </c>
      <c r="C33" s="27"/>
      <c r="D33" s="27"/>
      <c r="E33" s="23"/>
      <c r="F33" s="24"/>
      <c r="G33" s="24"/>
      <c r="H33" s="28" t="n">
        <f aca="false">F33*G33</f>
        <v>0</v>
      </c>
      <c r="I33" s="29" t="str">
        <f aca="false">IF(H33&gt;=17,"CRÍTICO",IF(H33&gt;=10,"ALTO",IF(H33&gt;=5,"MÉDIO",IF(H33&gt;0,"BAIXO",""))))</f>
        <v/>
      </c>
      <c r="J33" s="27"/>
      <c r="K33" s="27"/>
      <c r="L33" s="23"/>
      <c r="M33" s="23"/>
    </row>
    <row r="34" customFormat="false" ht="36" hidden="false" customHeight="true" outlineLevel="0" collapsed="false">
      <c r="B34" s="13" t="s">
        <v>61</v>
      </c>
      <c r="C34" s="27"/>
      <c r="D34" s="27"/>
      <c r="E34" s="23"/>
      <c r="F34" s="24"/>
      <c r="G34" s="24"/>
      <c r="H34" s="28" t="n">
        <f aca="false">F34*G34</f>
        <v>0</v>
      </c>
      <c r="I34" s="29" t="str">
        <f aca="false">IF(H34&gt;=17,"CRÍTICO",IF(H34&gt;=10,"ALTO",IF(H34&gt;=5,"MÉDIO",IF(H34&gt;0,"BAIXO",""))))</f>
        <v/>
      </c>
      <c r="J34" s="27"/>
      <c r="K34" s="27"/>
      <c r="L34" s="23"/>
      <c r="M34" s="23"/>
    </row>
    <row r="35" customFormat="false" ht="36" hidden="false" customHeight="true" outlineLevel="0" collapsed="false">
      <c r="B35" s="13" t="s">
        <v>62</v>
      </c>
      <c r="C35" s="27"/>
      <c r="D35" s="27"/>
      <c r="E35" s="23"/>
      <c r="F35" s="24"/>
      <c r="G35" s="24"/>
      <c r="H35" s="28" t="n">
        <f aca="false">F35*G35</f>
        <v>0</v>
      </c>
      <c r="I35" s="29" t="str">
        <f aca="false">IF(H35&gt;=17,"CRÍTICO",IF(H35&gt;=10,"ALTO",IF(H35&gt;=5,"MÉDIO",IF(H35&gt;0,"BAIXO",""))))</f>
        <v/>
      </c>
      <c r="J35" s="27"/>
      <c r="K35" s="27"/>
      <c r="L35" s="23"/>
      <c r="M35" s="23"/>
    </row>
    <row r="36" customFormat="false" ht="36" hidden="false" customHeight="true" outlineLevel="0" collapsed="false">
      <c r="B36" s="13" t="s">
        <v>63</v>
      </c>
      <c r="C36" s="27"/>
      <c r="D36" s="27"/>
      <c r="E36" s="23"/>
      <c r="F36" s="24"/>
      <c r="G36" s="24"/>
      <c r="H36" s="28" t="n">
        <f aca="false">F36*G36</f>
        <v>0</v>
      </c>
      <c r="I36" s="29" t="str">
        <f aca="false">IF(H36&gt;=17,"CRÍTICO",IF(H36&gt;=10,"ALTO",IF(H36&gt;=5,"MÉDIO",IF(H36&gt;0,"BAIXO",""))))</f>
        <v/>
      </c>
      <c r="J36" s="27"/>
      <c r="K36" s="27"/>
      <c r="L36" s="23"/>
      <c r="M36" s="23"/>
    </row>
    <row r="37" customFormat="false" ht="36" hidden="false" customHeight="true" outlineLevel="0" collapsed="false">
      <c r="B37" s="13" t="s">
        <v>64</v>
      </c>
      <c r="C37" s="27"/>
      <c r="D37" s="27"/>
      <c r="E37" s="23"/>
      <c r="F37" s="24"/>
      <c r="G37" s="24"/>
      <c r="H37" s="28" t="n">
        <f aca="false">F37*G37</f>
        <v>0</v>
      </c>
      <c r="I37" s="29" t="str">
        <f aca="false">IF(H37&gt;=17,"CRÍTICO",IF(H37&gt;=10,"ALTO",IF(H37&gt;=5,"MÉDIO",IF(H37&gt;0,"BAIXO",""))))</f>
        <v/>
      </c>
      <c r="J37" s="27"/>
      <c r="K37" s="27"/>
      <c r="L37" s="23"/>
      <c r="M37" s="23"/>
    </row>
  </sheetData>
  <mergeCells count="4">
    <mergeCell ref="B2:L2"/>
    <mergeCell ref="B3:F3"/>
    <mergeCell ref="G3:L3"/>
    <mergeCell ref="B5:L5"/>
  </mergeCells>
  <conditionalFormatting sqref="H8:H40">
    <cfRule type="cellIs" priority="2" operator="greaterThanOrEqual" aboveAverage="0" equalAverage="0" bottom="0" percent="0" rank="0" text="" dxfId="0">
      <formula>17</formula>
    </cfRule>
    <cfRule type="cellIs" priority="3" operator="between" aboveAverage="0" equalAverage="0" bottom="0" percent="0" rank="0" text="" dxfId="1">
      <formula>10</formula>
      <formula>16</formula>
    </cfRule>
    <cfRule type="cellIs" priority="4" operator="between" aboveAverage="0" equalAverage="0" bottom="0" percent="0" rank="0" text="" dxfId="2">
      <formula>5</formula>
      <formula>9</formula>
    </cfRule>
    <cfRule type="cellIs" priority="5" operator="between" aboveAverage="0" equalAverage="0" bottom="0" percent="0" rank="0" text="" dxfId="3">
      <formula>1</formula>
      <formula>4</formula>
    </cfRule>
  </conditionalFormatting>
  <dataValidations count="3">
    <dataValidation allowBlank="true" errorStyle="stop" operator="between" showDropDown="false" showErrorMessage="false" showInputMessage="false" sqref="F8:G60" type="list">
      <formula1>"1,2,3,4,5"</formula1>
      <formula2>0</formula2>
    </dataValidation>
    <dataValidation allowBlank="true" errorStyle="stop" operator="between" showDropDown="false" showErrorMessage="false" showInputMessage="false" sqref="E8:E60" type="list">
      <formula1>"Ransomware,Phishing/BEC,Acesso não autorizado,DDoS,Falha de sistema,Erro humano,Fornecedor comprometido,Fuga de dados,Outro"</formula1>
      <formula2>0</formula2>
    </dataValidation>
    <dataValidation allowBlank="true" errorStyle="stop" operator="between" showDropDown="false" showErrorMessage="false" showInputMessage="false" sqref="L8:L60" type="list">
      <formula1>"Aceitar,Mitigar,Transferir (Seguro),Evitar,Em curso,Concluído"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7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L15" activeCellId="0" sqref="L1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16"/>
    <col collapsed="false" customWidth="true" hidden="false" outlineLevel="0" max="7" min="7" style="1" width="18.27"/>
  </cols>
  <sheetData>
    <row r="2" customFormat="false" ht="33.75" hidden="false" customHeight="true" outlineLevel="0" collapsed="false">
      <c r="B2" s="8" t="s">
        <v>65</v>
      </c>
      <c r="C2" s="8"/>
      <c r="D2" s="8"/>
      <c r="E2" s="8"/>
      <c r="F2" s="8"/>
    </row>
    <row r="3" customFormat="false" ht="19.5" hidden="false" customHeight="true" outlineLevel="0" collapsed="false">
      <c r="B3" s="3" t="s">
        <v>66</v>
      </c>
      <c r="C3" s="3"/>
      <c r="D3" s="3"/>
      <c r="E3" s="3"/>
      <c r="F3" s="3"/>
    </row>
    <row r="5" customFormat="false" ht="21.75" hidden="false" customHeight="true" outlineLevel="0" collapsed="false">
      <c r="B5" s="30" t="s">
        <v>67</v>
      </c>
      <c r="C5" s="30"/>
      <c r="D5" s="30"/>
      <c r="E5" s="30"/>
      <c r="F5" s="30"/>
    </row>
    <row r="6" customFormat="false" ht="25.5" hidden="false" customHeight="true" outlineLevel="0" collapsed="false">
      <c r="B6" s="12" t="s">
        <v>68</v>
      </c>
      <c r="C6" s="31" t="s">
        <v>69</v>
      </c>
      <c r="D6" s="31" t="s">
        <v>70</v>
      </c>
      <c r="E6" s="31" t="s">
        <v>71</v>
      </c>
      <c r="F6" s="31" t="s">
        <v>72</v>
      </c>
      <c r="G6" s="31" t="s">
        <v>73</v>
      </c>
    </row>
    <row r="7" customFormat="false" ht="51.75" hidden="false" customHeight="true" outlineLevel="0" collapsed="false">
      <c r="B7" s="12" t="s">
        <v>74</v>
      </c>
      <c r="C7" s="32" t="s">
        <v>75</v>
      </c>
      <c r="D7" s="33" t="s">
        <v>76</v>
      </c>
      <c r="E7" s="34" t="s">
        <v>77</v>
      </c>
      <c r="F7" s="35" t="s">
        <v>78</v>
      </c>
      <c r="G7" s="35" t="s">
        <v>79</v>
      </c>
    </row>
    <row r="8" customFormat="false" ht="51.75" hidden="false" customHeight="true" outlineLevel="0" collapsed="false">
      <c r="B8" s="12" t="s">
        <v>80</v>
      </c>
      <c r="C8" s="32" t="s">
        <v>81</v>
      </c>
      <c r="D8" s="33" t="s">
        <v>82</v>
      </c>
      <c r="E8" s="34" t="s">
        <v>83</v>
      </c>
      <c r="F8" s="35" t="s">
        <v>84</v>
      </c>
      <c r="G8" s="35" t="s">
        <v>78</v>
      </c>
    </row>
    <row r="9" customFormat="false" ht="51.75" hidden="false" customHeight="true" outlineLevel="0" collapsed="false">
      <c r="B9" s="12" t="s">
        <v>85</v>
      </c>
      <c r="C9" s="32" t="s">
        <v>86</v>
      </c>
      <c r="D9" s="32" t="s">
        <v>87</v>
      </c>
      <c r="E9" s="33" t="s">
        <v>88</v>
      </c>
      <c r="F9" s="34" t="s">
        <v>83</v>
      </c>
      <c r="G9" s="35" t="s">
        <v>77</v>
      </c>
    </row>
    <row r="10" customFormat="false" ht="51.75" hidden="false" customHeight="true" outlineLevel="0" collapsed="false">
      <c r="B10" s="12" t="s">
        <v>89</v>
      </c>
      <c r="C10" s="32" t="s">
        <v>90</v>
      </c>
      <c r="D10" s="32" t="s">
        <v>81</v>
      </c>
      <c r="E10" s="32" t="s">
        <v>87</v>
      </c>
      <c r="F10" s="33" t="s">
        <v>82</v>
      </c>
      <c r="G10" s="34" t="s">
        <v>76</v>
      </c>
    </row>
    <row r="11" customFormat="false" ht="51.75" hidden="false" customHeight="true" outlineLevel="0" collapsed="false">
      <c r="B11" s="12" t="s">
        <v>91</v>
      </c>
      <c r="C11" s="32" t="s">
        <v>92</v>
      </c>
      <c r="D11" s="32" t="s">
        <v>90</v>
      </c>
      <c r="E11" s="32" t="s">
        <v>86</v>
      </c>
      <c r="F11" s="32" t="s">
        <v>81</v>
      </c>
      <c r="G11" s="33" t="s">
        <v>75</v>
      </c>
    </row>
    <row r="13" customFormat="false" ht="24" hidden="false" customHeight="true" outlineLevel="0" collapsed="false">
      <c r="B13" s="36" t="s">
        <v>93</v>
      </c>
      <c r="C13" s="36"/>
      <c r="D13" s="36"/>
      <c r="E13" s="36"/>
      <c r="F13" s="36"/>
      <c r="G13" s="36"/>
    </row>
    <row r="14" customFormat="false" ht="21.75" hidden="false" customHeight="true" outlineLevel="0" collapsed="false">
      <c r="A14" s="37"/>
      <c r="B14" s="38" t="s">
        <v>94</v>
      </c>
      <c r="C14" s="38"/>
      <c r="D14" s="39" t="s">
        <v>95</v>
      </c>
      <c r="E14" s="39"/>
      <c r="F14" s="39"/>
      <c r="G14" s="39"/>
    </row>
    <row r="15" customFormat="false" ht="21.75" hidden="false" customHeight="true" outlineLevel="0" collapsed="false">
      <c r="A15" s="40"/>
      <c r="B15" s="41" t="s">
        <v>96</v>
      </c>
      <c r="C15" s="41"/>
      <c r="D15" s="42" t="s">
        <v>97</v>
      </c>
      <c r="E15" s="42"/>
      <c r="F15" s="42"/>
      <c r="G15" s="42"/>
    </row>
    <row r="16" customFormat="false" ht="21.75" hidden="false" customHeight="true" outlineLevel="0" collapsed="false">
      <c r="A16" s="43"/>
      <c r="B16" s="44" t="s">
        <v>98</v>
      </c>
      <c r="C16" s="44"/>
      <c r="D16" s="45" t="s">
        <v>99</v>
      </c>
      <c r="E16" s="45"/>
      <c r="F16" s="45"/>
      <c r="G16" s="45"/>
    </row>
    <row r="17" customFormat="false" ht="21.75" hidden="false" customHeight="true" outlineLevel="0" collapsed="false">
      <c r="A17" s="46"/>
      <c r="B17" s="47" t="s">
        <v>100</v>
      </c>
      <c r="C17" s="47"/>
      <c r="D17" s="48" t="s">
        <v>101</v>
      </c>
      <c r="E17" s="48"/>
      <c r="F17" s="48"/>
      <c r="G17" s="48"/>
    </row>
  </sheetData>
  <mergeCells count="12">
    <mergeCell ref="B2:F2"/>
    <mergeCell ref="B3:F3"/>
    <mergeCell ref="B5:F5"/>
    <mergeCell ref="B13:G13"/>
    <mergeCell ref="B14:C14"/>
    <mergeCell ref="D14:G14"/>
    <mergeCell ref="B15:C15"/>
    <mergeCell ref="D15:G15"/>
    <mergeCell ref="B16:C16"/>
    <mergeCell ref="D16:G16"/>
    <mergeCell ref="B17:C17"/>
    <mergeCell ref="D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.45"/>
    <col collapsed="false" customWidth="true" hidden="false" outlineLevel="0" max="3" min="3" style="1" width="25.73"/>
    <col collapsed="false" customWidth="true" hidden="false" outlineLevel="0" max="4" min="4" style="1" width="12.27"/>
    <col collapsed="false" customWidth="true" hidden="false" outlineLevel="0" max="5" min="5" style="1" width="8.45"/>
    <col collapsed="false" customWidth="true" hidden="false" outlineLevel="0" max="6" min="6" style="1" width="12.82"/>
    <col collapsed="false" customWidth="true" hidden="false" outlineLevel="0" max="7" min="7" style="1" width="3"/>
  </cols>
  <sheetData>
    <row r="2" customFormat="false" ht="33.75" hidden="false" customHeight="true" outlineLevel="0" collapsed="false">
      <c r="B2" s="49" t="s">
        <v>102</v>
      </c>
      <c r="C2" s="49"/>
      <c r="D2" s="49"/>
      <c r="E2" s="49"/>
      <c r="F2" s="49"/>
    </row>
    <row r="4" customFormat="false" ht="25.5" hidden="false" customHeight="true" outlineLevel="0" collapsed="false">
      <c r="B4" s="50" t="s">
        <v>103</v>
      </c>
      <c r="C4" s="50"/>
      <c r="D4" s="50"/>
      <c r="E4" s="50"/>
      <c r="F4" s="50"/>
    </row>
    <row r="5" customFormat="false" ht="30" hidden="false" customHeight="true" outlineLevel="0" collapsed="false">
      <c r="B5" s="51" t="s">
        <v>104</v>
      </c>
      <c r="C5" s="52" t="n">
        <f aca="false">COUNTA('🎯 REGISTO DE RISCOS'!C8:C40)</f>
        <v>0</v>
      </c>
      <c r="D5" s="52"/>
      <c r="E5" s="52"/>
      <c r="F5" s="52"/>
    </row>
    <row r="6" customFormat="false" ht="30" hidden="false" customHeight="true" outlineLevel="0" collapsed="false">
      <c r="B6" s="53" t="s">
        <v>105</v>
      </c>
      <c r="C6" s="54" t="n">
        <f aca="false">COUNTIF('🎯 REGISTO DE RISCOS'!H8:H40,"&gt;="&amp;17)</f>
        <v>0</v>
      </c>
      <c r="D6" s="54"/>
      <c r="E6" s="54"/>
      <c r="F6" s="54"/>
    </row>
    <row r="7" customFormat="false" ht="30" hidden="false" customHeight="true" outlineLevel="0" collapsed="false">
      <c r="B7" s="55" t="s">
        <v>106</v>
      </c>
      <c r="C7" s="56" t="n">
        <f aca="false">COUNTIFS('🎯 REGISTO DE RISCOS'!H8:H40,"&gt;="&amp;10,'🎯 REGISTO DE RISCOS'!H8:H40,"&lt;"&amp;17)</f>
        <v>0</v>
      </c>
      <c r="D7" s="56"/>
      <c r="E7" s="56"/>
      <c r="F7" s="56"/>
    </row>
    <row r="8" customFormat="false" ht="30" hidden="false" customHeight="true" outlineLevel="0" collapsed="false">
      <c r="B8" s="57" t="s">
        <v>107</v>
      </c>
      <c r="C8" s="58" t="n">
        <f aca="false">COUNTIFS('🎯 REGISTO DE RISCOS'!H8:H40,"&gt;="&amp;5,'🎯 REGISTO DE RISCOS'!H8:H40,"&lt;"&amp;10)</f>
        <v>0</v>
      </c>
      <c r="D8" s="58"/>
      <c r="E8" s="58"/>
      <c r="F8" s="58"/>
    </row>
    <row r="9" customFormat="false" ht="30" hidden="false" customHeight="true" outlineLevel="0" collapsed="false">
      <c r="B9" s="59" t="s">
        <v>108</v>
      </c>
      <c r="C9" s="60" t="n">
        <f aca="false">COUNTIFS('🎯 REGISTO DE RISCOS'!H8:H40,"&gt;="&amp;1,'🎯 REGISTO DE RISCOS'!H8:H40,"&lt;"&amp;5)</f>
        <v>0</v>
      </c>
      <c r="D9" s="60"/>
      <c r="E9" s="60"/>
      <c r="F9" s="60"/>
    </row>
    <row r="11" customFormat="false" ht="25.5" hidden="false" customHeight="true" outlineLevel="0" collapsed="false">
      <c r="B11" s="50" t="s">
        <v>109</v>
      </c>
      <c r="C11" s="50"/>
      <c r="D11" s="50"/>
      <c r="E11" s="50"/>
      <c r="F11" s="50"/>
    </row>
    <row r="12" customFormat="false" ht="30" hidden="false" customHeight="true" outlineLevel="0" collapsed="false">
      <c r="B12" s="57" t="s">
        <v>110</v>
      </c>
      <c r="C12" s="58" t="n">
        <f aca="false">COUNTIF('🎯 REGISTO DE RISCOS'!L8:L40,"Em curso")</f>
        <v>0</v>
      </c>
      <c r="D12" s="58"/>
      <c r="E12" s="58"/>
      <c r="F12" s="58"/>
    </row>
    <row r="13" customFormat="false" ht="30" hidden="false" customHeight="true" outlineLevel="0" collapsed="false">
      <c r="B13" s="59" t="s">
        <v>111</v>
      </c>
      <c r="C13" s="60" t="n">
        <f aca="false">COUNTIF('🎯 REGISTO DE RISCOS'!L8:L40,"Concluído")</f>
        <v>0</v>
      </c>
      <c r="D13" s="60"/>
      <c r="E13" s="60"/>
      <c r="F13" s="60"/>
    </row>
    <row r="14" customFormat="false" ht="30" hidden="false" customHeight="true" outlineLevel="0" collapsed="false">
      <c r="B14" s="61" t="s">
        <v>112</v>
      </c>
      <c r="C14" s="62" t="n">
        <f aca="false">COUNTIF('🎯 REGISTO DE RISCOS'!L8:L40,"Transferir (Seguro)")</f>
        <v>0</v>
      </c>
      <c r="D14" s="62"/>
      <c r="E14" s="62"/>
      <c r="F14" s="62"/>
    </row>
    <row r="16" customFormat="false" ht="27.75" hidden="false" customHeight="true" outlineLevel="0" collapsed="false">
      <c r="B16" s="63" t="s">
        <v>113</v>
      </c>
      <c r="C16" s="63"/>
      <c r="D16" s="63"/>
      <c r="E16" s="63"/>
      <c r="F16" s="63"/>
    </row>
  </sheetData>
  <mergeCells count="12">
    <mergeCell ref="B2:F2"/>
    <mergeCell ref="B4:F4"/>
    <mergeCell ref="C5:F5"/>
    <mergeCell ref="C6:F6"/>
    <mergeCell ref="C7:F7"/>
    <mergeCell ref="C8:F8"/>
    <mergeCell ref="C9:F9"/>
    <mergeCell ref="B11:F11"/>
    <mergeCell ref="C12:F12"/>
    <mergeCell ref="C13:F13"/>
    <mergeCell ref="C14:F14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2026-03-07T10:55:13Z</dcterms:created>
  <dc:creator>openpyxl</dc:creator>
  <dc:description/>
  <dc:language>en-US</dc:language>
  <cp:lastModifiedBy>EMERSON LUIZ SANTOS</cp:lastModifiedBy>
  <dcterms:modified xsi:type="dcterms:W3CDTF">2026-07-18T22:00:59Z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