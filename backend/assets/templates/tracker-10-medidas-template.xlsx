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RACKER 10 MEDIDAS" sheetId="1" state="visible" r:id="rId1"/>
    <sheet xmlns:r="http://schemas.openxmlformats.org/officeDocument/2006/relationships" name="🗓️ ROADMAP 90 DIAS" sheetId="2" state="visible" r:id="rId2"/>
    <sheet xmlns:r="http://schemas.openxmlformats.org/officeDocument/2006/relationships" name="📈 DASHBOAR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i val="1"/>
      <color rgb="00666666"/>
      <sz val="9"/>
    </font>
    <font>
      <b val="1"/>
      <color rgb="00FFFFFF"/>
      <sz val="12"/>
    </font>
  </fonts>
  <fills count="6">
    <fill>
      <patternFill/>
    </fill>
    <fill>
      <patternFill patternType="gray125"/>
    </fill>
    <fill>
      <patternFill patternType="solid">
        <fgColor rgb="001F3A5F"/>
      </patternFill>
    </fill>
    <fill>
      <patternFill patternType="solid">
        <fgColor rgb="00FFF3CD"/>
      </patternFill>
    </fill>
    <fill>
      <patternFill patternType="solid">
        <fgColor rgb="002E5C8A"/>
      </patternFill>
    </fill>
    <fill>
      <patternFill patternType="solid">
        <fgColor rgb="00E8EE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applyAlignment="1" pivotButton="0" quotePrefix="0" xfId="0">
      <alignment vertical="top" wrapText="1"/>
    </xf>
    <xf numFmtId="0" fontId="4"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xf numFmtId="0" fontId="1" fillId="2" borderId="0" pivotButton="0" quotePrefix="0" xfId="0"/>
    <xf numFmtId="0" fontId="2" fillId="5"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K17"/>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30" customWidth="1" min="3" max="3"/>
    <col width="12" customWidth="1" min="4" max="4"/>
    <col width="8" customWidth="1" min="5" max="5"/>
    <col width="9" customWidth="1" min="6" max="6"/>
    <col width="55" customWidth="1" min="7" max="7"/>
    <col width="16" customWidth="1" min="8" max="8"/>
    <col width="12" customWidth="1" min="9" max="9"/>
    <col width="14" customWidth="1" min="10" max="10"/>
    <col width="30" customWidth="1" min="11" max="11"/>
  </cols>
  <sheetData>
    <row r="2" ht="24" customHeight="1">
      <c r="B2" s="1" t="inlineStr">
        <is>
          <t>TRACKER DE IMPLEMENTAÇÃO — 10 MEDIDAS TÉCNICAS NIS2  ·  Art. 21.º DL 125/2025</t>
        </is>
      </c>
    </row>
    <row r="3">
      <c r="B3" s="2" t="inlineStr">
        <is>
          <t xml:space="preserve">Empresa: </t>
        </is>
      </c>
      <c r="G3" s="2" t="inlineStr">
        <is>
          <t xml:space="preserve">Referência: </t>
        </is>
      </c>
    </row>
    <row r="5" ht="30" customHeight="1">
      <c r="B5" s="3" t="inlineStr">
        <is>
          <t>⚠️  Estado, Score e Lacunas são preenchidos automaticamente pela plataforma a partir do questionário de autoavaliação. Responsável, Prazo e Evidência ficam "[A definir pela equipa]" — são campos operacionais da vossa implementação. Este documento é evidência de supervisão para auditoria CNCS — Art. 21.º NIS2.</t>
        </is>
      </c>
    </row>
    <row r="7" ht="30" customHeight="1">
      <c r="B7" s="4" t="inlineStr">
        <is>
          <t>#</t>
        </is>
      </c>
      <c r="C7" s="4" t="inlineStr">
        <is>
          <t>Medida NIS2 (Art. 21.º/2)</t>
        </is>
      </c>
      <c r="D7" s="4" t="inlineStr">
        <is>
          <t>Estado</t>
        </is>
      </c>
      <c r="E7" s="4" t="inlineStr">
        <is>
          <t>Score</t>
        </is>
      </c>
      <c r="F7" s="4" t="inlineStr">
        <is>
          <t>Lacunas</t>
        </is>
      </c>
      <c r="G7" s="4" t="inlineStr">
        <is>
          <t>Ações Recomendadas</t>
        </is>
      </c>
      <c r="H7" s="4" t="inlineStr">
        <is>
          <t>Responsável</t>
        </is>
      </c>
      <c r="I7" s="4" t="inlineStr">
        <is>
          <t>Prioridade</t>
        </is>
      </c>
      <c r="J7" s="4" t="inlineStr">
        <is>
          <t>Prazo</t>
        </is>
      </c>
      <c r="K7" s="4" t="inlineStr">
        <is>
          <t>Evidência</t>
        </is>
      </c>
    </row>
    <row r="8" ht="60" customHeight="1">
      <c r="B8" s="5" t="inlineStr">
        <is>
          <t>A</t>
        </is>
      </c>
      <c r="C8" s="6" t="inlineStr">
        <is>
          <t>Políticas de segurança e análise de riscos</t>
        </is>
      </c>
      <c r="D8" s="7" t="n"/>
      <c r="E8" s="7" t="n"/>
      <c r="F8" s="7" t="n"/>
      <c r="G8" s="6" t="inlineStr">
        <is>
          <t>Análise de risco anual documentada com metodologia (ISO 27005 ou CNCS). Inventário de ativos críticos atualizado. PSI aprovada e assinada pela gestão. Ferramentas sugeridas: Registo de Riscos (gerado pela plataforma) + CNCS Risk Framework.</t>
        </is>
      </c>
      <c r="H8" s="7" t="n"/>
      <c r="I8" s="5" t="inlineStr">
        <is>
          <t>🔴 CRÍTICA</t>
        </is>
      </c>
      <c r="J8" s="7" t="n"/>
      <c r="K8" s="7" t="n"/>
    </row>
    <row r="9" ht="60" customHeight="1">
      <c r="B9" s="5" t="inlineStr">
        <is>
          <t>B</t>
        </is>
      </c>
      <c r="C9" s="6" t="inlineStr">
        <is>
          <t>Gestão de incidentes</t>
        </is>
      </c>
      <c r="D9" s="7" t="n"/>
      <c r="E9" s="7" t="n"/>
      <c r="F9" s="7" t="n"/>
      <c r="G9" s="6" t="inlineStr">
        <is>
          <t>IRP documentado e testado com tabletop semestral. EDR em todos os endpoints. Log de incidentes atualizado. Processo de notificação ao CNCS (24h/72h/1 mês) testado. Ferramentas sugeridas: EDR (Microsoft Defender / Sophos Intercept X); IRP gerado pela plataforma.</t>
        </is>
      </c>
      <c r="H9" s="7" t="n"/>
      <c r="I9" s="5" t="inlineStr">
        <is>
          <t>🔴 CRÍTICA</t>
        </is>
      </c>
      <c r="J9" s="7" t="n"/>
      <c r="K9" s="7" t="n"/>
    </row>
    <row r="10" ht="60" customHeight="1">
      <c r="B10" s="5" t="inlineStr">
        <is>
          <t>C</t>
        </is>
      </c>
      <c r="C10" s="6" t="inlineStr">
        <is>
          <t>Continuidade de negócio e gestão de crises</t>
        </is>
      </c>
      <c r="D10" s="7" t="n"/>
      <c r="E10" s="7" t="n"/>
      <c r="F10" s="7" t="n"/>
      <c r="G10" s="6" t="inlineStr">
        <is>
          <t>Backup 3-2-1 com imutabilidade configurado e testado trimestralmente. BCP com RTO e RPO definidos e aprovados. DRP com procedimentos de restauro documentados. Ferramentas sugeridas: Veeam Backup / Azure Backup / Acronis; NAS local + Cloud.</t>
        </is>
      </c>
      <c r="H10" s="7" t="n"/>
      <c r="I10" s="5" t="inlineStr">
        <is>
          <t>🔴 CRÍTICA</t>
        </is>
      </c>
      <c r="J10" s="7" t="n"/>
      <c r="K10" s="7" t="n"/>
    </row>
    <row r="11" ht="60" customHeight="1">
      <c r="B11" s="5" t="inlineStr">
        <is>
          <t>D</t>
        </is>
      </c>
      <c r="C11" s="6" t="inlineStr">
        <is>
          <t>Segurança da cadeia de abastecimento</t>
        </is>
      </c>
      <c r="D11" s="7" t="n"/>
      <c r="E11" s="7" t="n"/>
      <c r="F11" s="7" t="n"/>
      <c r="G11" s="6" t="inlineStr">
        <is>
          <t>Inventário de fornecedores digitais (TPRM) atualizado. Fornecedores críticos avaliados com questionário de due diligence. Contratos com cláusulas NIS2 (notificação 24h, auditoria, exit strategy). Processo de gestão de acessos de terceiros com MFA e revogação imediata no términus. Prioridade: MSP e fornecedores com acesso remoto direto.</t>
        </is>
      </c>
      <c r="H11" s="7" t="n"/>
      <c r="I11" s="5" t="inlineStr">
        <is>
          <t>🟠 ALTA</t>
        </is>
      </c>
      <c r="J11" s="7" t="n"/>
      <c r="K11" s="7" t="n"/>
    </row>
    <row r="12" ht="60" customHeight="1">
      <c r="B12" s="5" t="inlineStr">
        <is>
          <t>E</t>
        </is>
      </c>
      <c r="C12" s="6" t="inlineStr">
        <is>
          <t>Segurança na aquisição e desenvolvimento de sistemas</t>
        </is>
      </c>
      <c r="D12" s="7" t="n"/>
      <c r="E12" s="7" t="n"/>
      <c r="F12" s="7" t="n"/>
      <c r="G12" s="6" t="inlineStr">
        <is>
          <t>Critérios de segurança formais na aquisição de software/hardware. Processo de gestão de patches com prazos por CVSS (Crítico ≤48h, Alto ≤1 semana). Inventário de sistemas em fim de vida (EOL) com plano de migração. Práticas de desenvolvimento seguro (SAST, revisão de código) se a empresa desenvolve software. Subscrição de alertas CVE (CERT.PT, CISA) e scan de vulnerabilidades trimestral — inclui a divulgação e o tratamento de vulnerabilidades (Art. 21.º/2/e). Ferramentas sugeridas: Windows Update for Business/WSUS; CERT.PT alerts; Nessus Essentials / Qualys FreeScan.</t>
        </is>
      </c>
      <c r="H12" s="7" t="n"/>
      <c r="I12" s="5" t="inlineStr">
        <is>
          <t>🔴 CRÍTICA</t>
        </is>
      </c>
      <c r="J12" s="7" t="n"/>
      <c r="K12" s="7" t="n"/>
    </row>
    <row r="13" ht="60" customHeight="1">
      <c r="B13" s="5" t="inlineStr">
        <is>
          <t>F</t>
        </is>
      </c>
      <c r="C13" s="6" t="inlineStr">
        <is>
          <t>Avaliação da eficácia das medidas de segurança</t>
        </is>
      </c>
      <c r="D13" s="7" t="n"/>
      <c r="E13" s="7" t="n"/>
      <c r="F13" s="7" t="n"/>
      <c r="G13" s="6" t="inlineStr">
        <is>
          <t>Avaliações periódicas da eficácia das medidas (auditoria interna/externa). Testes de vulnerabilidade e scans regulares nos sistemas expostos à internet (a plataforma CISPLAN automatiza esta análise). Logs de segurança retidos ≥12 meses, com monitorização ativa de alertas críticos (SIEM). Resultados documentados e usados para um ciclo de melhoria contínua com responsáveis e prazos. Ferramentas sugeridas: Microsoft Sentinel (SIEM) ou equivalente; scan de vulnerabilidades da própria plataforma.</t>
        </is>
      </c>
      <c r="H13" s="7" t="n"/>
      <c r="I13" s="5" t="inlineStr">
        <is>
          <t>🟠 ALTA</t>
        </is>
      </c>
      <c r="J13" s="7" t="n"/>
      <c r="K13" s="7" t="n"/>
    </row>
    <row r="14" ht="60" customHeight="1">
      <c r="B14" s="5" t="inlineStr">
        <is>
          <t>G</t>
        </is>
      </c>
      <c r="C14" s="6" t="inlineStr">
        <is>
          <t>Higiene digital e formação em cibersegurança</t>
        </is>
      </c>
      <c r="D14" s="7" t="n"/>
      <c r="E14" s="7" t="n"/>
      <c r="F14" s="7" t="n"/>
      <c r="G14" s="6" t="inlineStr">
        <is>
          <t>Formação anual de cibersegurança para 100% dos colaboradores, com lista de presenças. Formação técnica especializada adicional para TI/CISO. Política de Uso Aceitável (AUP) comunicada e assinada. Simulações de phishing trimestrais com resultado documentado. Meta: taxa de cliques em phishing &lt; 5%. Ferramentas sugeridas: KnowBe4 / Proofpoint Security Awareness / C-Academy (CNCS, gratuito).</t>
        </is>
      </c>
      <c r="H14" s="7" t="n"/>
      <c r="I14" s="5" t="inlineStr">
        <is>
          <t>🟠 ALTA</t>
        </is>
      </c>
      <c r="J14" s="7" t="n"/>
      <c r="K14" s="7" t="n"/>
    </row>
    <row r="15" ht="60" customHeight="1">
      <c r="B15" s="5" t="inlineStr">
        <is>
          <t>H</t>
        </is>
      </c>
      <c r="C15" s="6" t="inlineStr">
        <is>
          <t>Criptografia e encriptação</t>
        </is>
      </c>
      <c r="D15" s="7" t="n"/>
      <c r="E15" s="7" t="n"/>
      <c r="F15" s="7" t="n"/>
      <c r="G15" s="6" t="inlineStr">
        <is>
          <t>Encriptação de dados em repouso ativa (BitLocker/FileVault, encriptação de base de dados). Todos os dados em trânsito encriptados (HTTPS em todos os sites, TLS, VPN para acesso remoto). Política de gestão de chaves criptográficas, com responsáveis e rotação definida. Ferramentas sugeridas: Microsoft Intune (BitLocker); certificados TLS (Let's Encrypt).</t>
        </is>
      </c>
      <c r="H15" s="7" t="n"/>
      <c r="I15" s="5" t="inlineStr">
        <is>
          <t>🟠 ALTA</t>
        </is>
      </c>
      <c r="J15" s="7" t="n"/>
      <c r="K15" s="7" t="n"/>
    </row>
    <row r="16" ht="60" customHeight="1">
      <c r="B16" s="5" t="inlineStr">
        <is>
          <t>I</t>
        </is>
      </c>
      <c r="C16" s="6" t="inlineStr">
        <is>
          <t>Segurança RH, controlo de acesso e gestão de ativos</t>
        </is>
      </c>
      <c r="D16" s="7" t="n"/>
      <c r="E16" s="7" t="n"/>
      <c r="F16" s="7" t="n"/>
      <c r="G16" s="6" t="inlineStr">
        <is>
          <t>Inventário atualizado de todos os ativos de TI (hardware, software, cloud) — não se pode proteger o que não se conhece. Princípio do menor privilégio implementado (cada colaborador só com os acessos necessários). Processo de onboarding/offboarding com revogação imediata de acessos à saída. Revisão periódica de permissões (semestral/anual). Contas de administrador geridas de forma especial (separadas, MFA obrigatório, auditoria de uso). Ferramentas sugeridas: Microsoft Entra ID (IAM/RBAC); revisão trimestral de acessos.</t>
        </is>
      </c>
      <c r="H16" s="7" t="n"/>
      <c r="I16" s="5" t="inlineStr">
        <is>
          <t>🟠 ALTA</t>
        </is>
      </c>
      <c r="J16" s="7" t="n"/>
      <c r="K16" s="7" t="n"/>
    </row>
    <row r="17" ht="60" customHeight="1">
      <c r="B17" s="5" t="inlineStr">
        <is>
          <t>J</t>
        </is>
      </c>
      <c r="C17" s="6" t="inlineStr">
        <is>
          <t>MFA e comunicações seguras</t>
        </is>
      </c>
      <c r="D17" s="7" t="n"/>
      <c r="E17" s="7" t="n"/>
      <c r="F17" s="7" t="n"/>
      <c r="G17" s="6" t="inlineStr">
        <is>
          <t>MFA ativo para 100% das contas: email corporativo, VPN/acesso remoto, contas de administrador, sistemas críticos. Contas de serviço/APIs com tokens ou certificados rotativos (não passwords estáticas partilhadas). Canais aprovados e seguros para comunicações sensíveis (não WhatsApp pessoal/SMS). PRIORIDADE MÁXIMA — maior ROI de qualquer medida NIS2. Ferramentas sugeridas: Microsoft Authenticator/Entra ID; Microsoft Intune (MDM); Cisco Duo.</t>
        </is>
      </c>
      <c r="H17" s="7" t="n"/>
      <c r="I17" s="5" t="inlineStr">
        <is>
          <t>🔴 CRÍTICA</t>
        </is>
      </c>
      <c r="J17" s="7" t="n"/>
      <c r="K17" s="7" t="n"/>
    </row>
  </sheetData>
  <mergeCells count="2">
    <mergeCell ref="B5:K5"/>
    <mergeCell ref="B2:K2"/>
  </mergeCells>
  <dataValidations count="1">
    <dataValidation sqref="D8:D17" showDropDown="0" showInputMessage="0" showErrorMessage="0" allowBlank="1" type="list">
      <formula1>"Conforme,Parcial,Em falta"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14"/>
  <sheetViews>
    <sheetView workbookViewId="0">
      <selection activeCell="A1" sqref="A1"/>
    </sheetView>
  </sheetViews>
  <sheetFormatPr baseColWidth="8" defaultRowHeight="15"/>
  <cols>
    <col width="2" customWidth="1" min="1" max="1"/>
    <col width="26" customWidth="1" min="2" max="2"/>
    <col width="40" customWidth="1" min="3" max="3"/>
    <col width="26" customWidth="1" min="4" max="4"/>
    <col width="26" customWidth="1" min="5" max="5"/>
    <col width="26" customWidth="1" min="6" max="6"/>
  </cols>
  <sheetData>
    <row r="2" ht="22" customHeight="1">
      <c r="B2" s="8" t="inlineStr">
        <is>
          <t>ROADMAP DE IMPLEMENTAÇÃO NIS2 — 90 DIAS</t>
        </is>
      </c>
    </row>
    <row r="4" ht="30" customHeight="1">
      <c r="B4" s="4" t="inlineStr">
        <is>
          <t>Medida NIS2</t>
        </is>
      </c>
      <c r="C4" s="4" t="inlineStr">
        <is>
          <t>Ação Concreta</t>
        </is>
      </c>
      <c r="D4" s="4" t="inlineStr">
        <is>
          <t>Semanas 1-2
(IMEDIATO)</t>
        </is>
      </c>
      <c r="E4" s="4" t="inlineStr">
        <is>
          <t>Meses 1-2
(CURTO PRAZO)</t>
        </is>
      </c>
      <c r="F4" s="4" t="inlineStr">
        <is>
          <t>Meses 2-3
(MÉDIO PRAZO)</t>
        </is>
      </c>
    </row>
    <row r="5" ht="45" customHeight="1">
      <c r="B5" s="6" t="inlineStr">
        <is>
          <t>A — Políticas de segurança e análise de riscos</t>
        </is>
      </c>
      <c r="C5" s="6" t="inlineStr">
        <is>
          <t>Completar análise de risco anual e atualizar o Registo de Riscos</t>
        </is>
      </c>
      <c r="D5" s="6" t="inlineStr">
        <is>
          <t>Workshop de risco com a gestão</t>
        </is>
      </c>
      <c r="E5" s="6" t="inlineStr">
        <is>
          <t>✅ Registo de Riscos atualizado</t>
        </is>
      </c>
      <c r="F5" s="6" t="inlineStr">
        <is>
          <t>Aprovação da PSI pela gestão</t>
        </is>
      </c>
    </row>
    <row r="6" ht="45" customHeight="1">
      <c r="B6" s="6" t="inlineStr">
        <is>
          <t>B — Gestão de incidentes</t>
        </is>
      </c>
      <c r="C6" s="6" t="inlineStr">
        <is>
          <t>Redigir e testar o IRP com tabletop exercise</t>
        </is>
      </c>
      <c r="D6" s="6" t="inlineStr">
        <is>
          <t>Nomear equipa de resposta</t>
        </is>
      </c>
      <c r="E6" s="6" t="inlineStr">
        <is>
          <t>✅ Redigir IRP e testar</t>
        </is>
      </c>
      <c r="F6" s="6" t="inlineStr">
        <is>
          <t>Tabletop exercise semestral</t>
        </is>
      </c>
    </row>
    <row r="7" ht="45" customHeight="1">
      <c r="B7" s="6" t="inlineStr">
        <is>
          <t>C — Continuidade de negócio e gestão de crises</t>
        </is>
      </c>
      <c r="C7" s="6" t="inlineStr">
        <is>
          <t>Configurar backup imutável e testar restauro completo</t>
        </is>
      </c>
      <c r="D7" s="6" t="inlineStr">
        <is>
          <t>Verificar estado do backup atual</t>
        </is>
      </c>
      <c r="E7" s="6" t="inlineStr">
        <is>
          <t>✅ Configurar imutabilidade (Azure/cloud)</t>
        </is>
      </c>
      <c r="F7" s="6" t="inlineStr">
        <is>
          <t>Teste de restauro com RTO medido</t>
        </is>
      </c>
    </row>
    <row r="8" ht="45" customHeight="1">
      <c r="B8" s="6" t="inlineStr">
        <is>
          <t>D — Segurança da cadeia de abastecimento</t>
        </is>
      </c>
      <c r="C8" s="6" t="inlineStr">
        <is>
          <t>Due diligence dos fornecedores críticos prioritários</t>
        </is>
      </c>
      <c r="D8" s="6" t="inlineStr">
        <is>
          <t>Enviar questionário DD ao MSP</t>
        </is>
      </c>
      <c r="E8" s="6" t="inlineStr">
        <is>
          <t>✅ Cláusulas NIS2 nos contratos</t>
        </is>
      </c>
      <c r="F8" s="6" t="inlineStr">
        <is>
          <t>Exit strategy documentada</t>
        </is>
      </c>
    </row>
    <row r="9" ht="45" customHeight="1">
      <c r="B9" s="6" t="inlineStr">
        <is>
          <t>E — Segurança na aquisição e desenvolvimento de sistemas</t>
        </is>
      </c>
      <c r="C9" s="6" t="inlineStr">
        <is>
          <t>Processo de patch com SLA por CVSS + subscrição de alertas CVE</t>
        </is>
      </c>
      <c r="D9" s="6" t="inlineStr">
        <is>
          <t>Auditar patches pendentes + subscrever CERT.PT (gratuito)</t>
        </is>
      </c>
      <c r="E9" s="6" t="inlineStr">
        <is>
          <t>✅ Aplicar todos os CVSS≥9 em 48h + scan de vulnerabilidades</t>
        </is>
      </c>
      <c r="F9" s="6" t="inlineStr">
        <is>
          <t>Processo mensal formalizado + SLA de patches formalizado</t>
        </is>
      </c>
    </row>
    <row r="10" ht="45" customHeight="1">
      <c r="B10" s="6" t="inlineStr">
        <is>
          <t>F — Avaliação da eficácia das medidas de segurança</t>
        </is>
      </c>
      <c r="C10" s="6" t="inlineStr">
        <is>
          <t>Ativar retenção de logs ≥12 meses e alertas críticos</t>
        </is>
      </c>
      <c r="D10" s="6" t="inlineStr">
        <is>
          <t>Verificar logs existentes</t>
        </is>
      </c>
      <c r="E10" s="6" t="inlineStr">
        <is>
          <t>✅ Configurar retenção de 12 meses</t>
        </is>
      </c>
      <c r="F10" s="6" t="inlineStr">
        <is>
          <t>SIEM básico (ex.: Sentinel Free)</t>
        </is>
      </c>
    </row>
    <row r="11" ht="45" customHeight="1">
      <c r="B11" s="6" t="inlineStr">
        <is>
          <t>G — Higiene digital e formação em cibersegurança</t>
        </is>
      </c>
      <c r="C11" s="6" t="inlineStr">
        <is>
          <t>Sessão de sensibilização para todos + simulação de phishing</t>
        </is>
      </c>
      <c r="D11" s="6" t="inlineStr">
        <is>
          <t>Agendar sessão de formação geral</t>
        </is>
      </c>
      <c r="E11" s="6" t="inlineStr">
        <is>
          <t>✅ Formação para 100% dos colaboradores</t>
        </is>
      </c>
      <c r="F11" s="6" t="inlineStr">
        <is>
          <t>Simulação de phishing trimestral</t>
        </is>
      </c>
    </row>
    <row r="12" ht="45" customHeight="1">
      <c r="B12" s="6" t="inlineStr">
        <is>
          <t>H — Criptografia e encriptação</t>
        </is>
      </c>
      <c r="C12" s="6" t="inlineStr">
        <is>
          <t>BitLocker/FileVault em todos os dispositivos + política de chaves</t>
        </is>
      </c>
      <c r="D12" s="6" t="inlineStr">
        <is>
          <t>Inventariar dispositivos sem encriptação</t>
        </is>
      </c>
      <c r="E12" s="6" t="inlineStr">
        <is>
          <t>✅ Ativar BitLocker/FileVault em todos</t>
        </is>
      </c>
      <c r="F12" s="6" t="inlineStr">
        <is>
          <t>Política de gestão de chaves criptográficas</t>
        </is>
      </c>
    </row>
    <row r="13" ht="45" customHeight="1">
      <c r="B13" s="6" t="inlineStr">
        <is>
          <t>I — Segurança RH, controlo de acesso e gestão de ativos</t>
        </is>
      </c>
      <c r="C13" s="6" t="inlineStr">
        <is>
          <t>Inventário de ativos + revisão de acessos + onboarding/offboarding formal</t>
        </is>
      </c>
      <c r="D13" s="6" t="inlineStr">
        <is>
          <t>Inventariar ativos de TI (hardware/software/cloud)</t>
        </is>
      </c>
      <c r="E13" s="6" t="inlineStr">
        <is>
          <t>✅ Revisão de acessos (menor privilégio)</t>
        </is>
      </c>
      <c r="F13" s="6" t="inlineStr">
        <is>
          <t>Formalizar processo de onboarding/offboarding</t>
        </is>
      </c>
    </row>
    <row r="14" ht="45" customHeight="1">
      <c r="B14" s="6" t="inlineStr">
        <is>
          <t>J — MFA e comunicações seguras</t>
        </is>
      </c>
      <c r="C14" s="6" t="inlineStr">
        <is>
          <t>Ativar MFA em email, VPN e sistemas críticos para 100% dos utilizadores</t>
        </is>
      </c>
      <c r="D14" s="6" t="inlineStr">
        <is>
          <t>✅ Ativar MFA (M365/Entra ID) para todos</t>
        </is>
      </c>
      <c r="E14" s="6" t="inlineStr">
        <is>
          <t>Expandir a todos os sistemas cloud</t>
        </is>
      </c>
      <c r="F14" s="6" t="inlineStr">
        <is>
          <t>MDM para dispositivos móveis</t>
        </is>
      </c>
    </row>
  </sheetData>
  <mergeCells count="1">
    <mergeCell ref="B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13"/>
  <sheetViews>
    <sheetView workbookViewId="0">
      <selection activeCell="A1" sqref="A1"/>
    </sheetView>
  </sheetViews>
  <sheetFormatPr baseColWidth="8" defaultRowHeight="15"/>
  <cols>
    <col width="2" customWidth="1" min="1" max="1"/>
    <col width="48" customWidth="1" min="2" max="2"/>
    <col width="14" customWidth="1" min="3" max="3"/>
    <col width="14" customWidth="1" min="4" max="4"/>
  </cols>
  <sheetData>
    <row r="2" ht="22" customHeight="1">
      <c r="B2" s="8" t="inlineStr">
        <is>
          <t>DASHBOARD — ESTADO DE CONFORMIDADE NIS2</t>
        </is>
      </c>
    </row>
    <row r="4">
      <c r="B4" s="9" t="inlineStr">
        <is>
          <t>📊 SCORE GLOBAL DE CONFORMIDADE</t>
        </is>
      </c>
    </row>
    <row r="6">
      <c r="B6" s="9" t="inlineStr">
        <is>
          <t>CONTAGEM POR ESTADO (limiares iguais ao Relatório Executivo para a Gestão — 80/60)</t>
        </is>
      </c>
    </row>
    <row r="7">
      <c r="B7" t="inlineStr">
        <is>
          <t>Medidas CONFORME (score ≥ 80) ✅</t>
        </is>
      </c>
      <c r="C7">
        <f>COUNTIF('📊 TRACKER 10 MEDIDAS'!D8:D17,"Conforme")</f>
        <v/>
      </c>
    </row>
    <row r="8">
      <c r="B8" t="inlineStr">
        <is>
          <t>Medidas PARCIAL (score 60-79) 🔄</t>
        </is>
      </c>
      <c r="C8">
        <f>COUNTIF('📊 TRACKER 10 MEDIDAS'!D8:D17,"Parcial")</f>
        <v/>
      </c>
    </row>
    <row r="9">
      <c r="B9" t="inlineStr">
        <is>
          <t>Medidas EM FALTA (score &lt; 60) 🔴</t>
        </is>
      </c>
      <c r="C9">
        <f>COUNTIF('📊 TRACKER 10 MEDIDAS'!D8:D17,"Em falta")</f>
        <v/>
      </c>
    </row>
    <row r="11">
      <c r="B11" s="10" t="inlineStr">
        <is>
          <t>ℹ️  As contagens por estado são calculadas automaticamente a partir da coluna Estado do separador '📊 TRACKER 10 MEDIDAS'. O Score Global reflete o resultado do questionário de autoavaliação NIS2 — o mesmo valor usado no Relatório Executivo para a Gestão.</t>
        </is>
      </c>
    </row>
    <row r="12"/>
    <row r="13"/>
  </sheetData>
  <mergeCells count="3">
    <mergeCell ref="B6:C6"/>
    <mergeCell ref="B2:D2"/>
    <mergeCell ref="B11: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2026-08-04T07:23:12Z</dcterms:created>
  <dcterms:modified xmlns:dcterms="http://purl.org/dc/terms/" xmlns:xsi="http://www.w3.org/2001/XMLSchema-instance" xsi:type="dcterms:W3CDTF">2026-08-04T07:23:12Z</dcterms:modified>
</cp:coreProperties>
</file>